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ril-2026" sheetId="1" r:id="rId1"/>
    <sheet name="Columns &amp; formulas" sheetId="2" r:id="rId2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hh:mm"/>
    <numFmt numFmtId="166" formatCode="0.0"/>
    <numFmt numFmtId="167" formatCode="[h]:mm"/>
  </numFmts>
  <fonts count="3">
    <font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0">
    <xf numFmtId="49" fontId="0" fillId="0" borderId="1" xfId="0" applyNumberFormat="1" applyBorder="1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8" customWidth="1"/>
    <col min="5" max="5" width="16" customWidth="1"/>
    <col min="6" max="6" width="16" customWidth="1"/>
    <col min="7" max="7" width="18" customWidth="1"/>
    <col min="8" max="8" width="20" customWidth="1"/>
    <col min="9" max="9" width="25" customWidth="1"/>
    <col min="10" max="10" width="13" customWidth="1"/>
    <col min="11" max="11" width="15" customWidth="1"/>
    <col min="12" max="12" width="12" customWidth="1"/>
    <col min="13" max="13" width="29" customWidth="1"/>
    <col min="14" max="14" width="22" customWidth="1"/>
    <col min="15" max="15" width="20" customWidth="1"/>
    <col min="16" max="16" width="17" customWidth="1"/>
    <col min="17" max="17" width="20" customWidth="1"/>
    <col min="18" max="18" width="18" customWidth="1"/>
    <col min="19" max="19" width="29" customWidth="1"/>
    <col min="20" max="20" width="23" customWidth="1"/>
    <col min="21" max="21" width="22" customWidth="1"/>
    <col min="22" max="22" width="21" customWidth="1"/>
    <col min="23" max="23" width="25" customWidth="1"/>
    <col min="24" max="24" width="30" customWidth="1"/>
    <col min="25" max="25" width="30" customWidth="1"/>
    <col min="26" max="26" width="16" customWidth="1"/>
    <col min="27" max="27" width="30" customWidth="1"/>
    <col min="28" max="28" width="27" customWidth="1"/>
    <col min="29" max="29" width="23" customWidth="1"/>
    <col min="30" max="30" width="25" customWidth="1"/>
    <col min="31" max="31" width="19" customWidth="1"/>
    <col min="32" max="32" width="12" customWidth="1"/>
    <col min="33" max="33" width="27" customWidth="1"/>
    <col min="34" max="34" width="28" customWidth="1"/>
    <col min="35" max="35" width="12" customWidth="1"/>
    <col min="36" max="36" width="18" customWidth="1"/>
    <col min="37" max="37" width="12" customWidth="1"/>
    <col min="38" max="38" width="12" customWidth="1"/>
    <col min="39" max="39" width="12" customWidth="1"/>
    <col min="40" max="40" width="12" customWidth="1"/>
  </cols>
  <sheetData>
    <row r="1">
      <c r="A1" s="1" t="inlineStr">
        <is>
          <t xml:space="preserve">S. No.</t>
        </is>
      </c>
      <c r="B1" s="1" t="inlineStr">
        <is>
          <t xml:space="preserve">Name</t>
        </is>
      </c>
      <c r="C1" s="1" t="inlineStr">
        <is>
          <t xml:space="preserve">Basic salary</t>
        </is>
      </c>
      <c r="D1" s="1" t="inlineStr">
        <is>
          <t xml:space="preserve">Salary par day (C/F)</t>
        </is>
      </c>
      <c r="E1" s="1" t="inlineStr">
        <is>
          <t xml:space="preserve">Total monthly days</t>
        </is>
      </c>
      <c r="F1" s="1" t="inlineStr">
        <is>
          <t xml:space="preserve">Total working days</t>
        </is>
      </c>
      <c r="G1" s="1" t="inlineStr">
        <is>
          <t xml:space="preserve">Per hour salary (D/9)</t>
        </is>
      </c>
      <c r="H1" s="1" t="inlineStr">
        <is>
          <t xml:space="preserve">Per minute salary (G/60)</t>
        </is>
      </c>
      <c r="I1" s="1" t="inlineStr">
        <is>
          <t xml:space="preserve">Total lunch time given (45 * J)</t>
        </is>
      </c>
      <c r="J1" s="1" t="inlineStr">
        <is>
          <t xml:space="preserve">Present days </t>
        </is>
      </c>
      <c r="K1" s="1" t="inlineStr">
        <is>
          <t xml:space="preserve">Leave days (F-J)</t>
        </is>
      </c>
      <c r="L1" s="1" t="inlineStr">
        <is>
          <t xml:space="preserve">Paid leave</t>
        </is>
      </c>
      <c r="M1" s="1" t="inlineStr">
        <is>
          <t xml:space="preserve">Oficial 3rd saturday and Sunday work </t>
        </is>
      </c>
      <c r="N1" s="1" t="inlineStr">
        <is>
          <t xml:space="preserve">Saturday salary bonus (L*H)</t>
        </is>
      </c>
      <c r="O1" s="1" t="inlineStr">
        <is>
          <t xml:space="preserve">Deduction payment reason</t>
        </is>
      </c>
      <c r="P1" s="1" t="inlineStr">
        <is>
          <t xml:space="preserve">Late coming minutes</t>
        </is>
      </c>
      <c r="Q1" s="1" t="inlineStr">
        <is>
          <t xml:space="preserve">Adjusted late coming min</t>
        </is>
      </c>
      <c r="R1" s="1" t="inlineStr">
        <is>
          <t xml:space="preserve">Hourly leave minutes</t>
        </is>
      </c>
      <c r="S1" s="1" t="inlineStr">
        <is>
          <t xml:space="preserve">Late Coming and hourly leave plus P+R</t>
        </is>
      </c>
      <c r="T1" s="1" t="inlineStr">
        <is>
          <t xml:space="preserve">Late coming deduction (S*H) </t>
        </is>
      </c>
      <c r="U1" s="1" t="inlineStr">
        <is>
          <t xml:space="preserve">late coming adjusted (Q*H)</t>
        </is>
      </c>
      <c r="V1" s="1" t="inlineStr">
        <is>
          <t xml:space="preserve">Without application leave</t>
        </is>
      </c>
      <c r="W1" s="1" t="inlineStr">
        <is>
          <t xml:space="preserve">Without application SHORT leave</t>
        </is>
      </c>
      <c r="X1" s="1" t="inlineStr">
        <is>
          <t xml:space="preserve">short leave in min (less than 8:30 hrs)</t>
        </is>
      </c>
      <c r="Y1" s="1" t="inlineStr">
        <is>
          <t xml:space="preserve">Without app Short leave deduction (X*1.5)</t>
        </is>
      </c>
      <c r="Z1" s="1" t="inlineStr">
        <is>
          <t xml:space="preserve">Task email missing</t>
        </is>
      </c>
      <c r="AA1" s="1" t="inlineStr">
        <is>
          <t xml:space="preserve">Without application 1 day deduction (V*D/2)</t>
        </is>
      </c>
      <c r="AB1" s="1" t="inlineStr">
        <is>
          <t xml:space="preserve">Total payment deduction (Y+AA+T-U)</t>
        </is>
      </c>
      <c r="AC1" s="1" t="inlineStr">
        <is>
          <t xml:space="preserve">Total salary paid days (J+L)</t>
        </is>
      </c>
      <c r="AD1" s="1" t="inlineStr">
        <is>
          <t xml:space="preserve">Salary before adjustment (AC*D)</t>
        </is>
      </c>
      <c r="AE1" s="1" t="inlineStr">
        <is>
          <t xml:space="preserve">Increment/Bonus amount</t>
        </is>
      </c>
      <c r="AF1" s="1" t="inlineStr">
        <is>
          <t xml:space="preserve">TDS</t>
        </is>
      </c>
      <c r="AG1" s="1" t="inlineStr">
        <is>
          <t xml:space="preserve">Salary after deduction (AD-AB- AF)</t>
        </is>
      </c>
      <c r="AH1" s="1" t="inlineStr">
        <is>
          <t xml:space="preserve">Total salary included bonus (AF+AE)</t>
        </is>
      </c>
      <c r="AI1" s="1" t="inlineStr">
        <is>
          <t xml:space="preserve">Salary paid</t>
        </is>
      </c>
      <c r="AJ1" s="1" t="inlineStr">
        <is>
          <t xml:space="preserve">salary remains(AH-AI)</t>
        </is>
      </c>
      <c r="AK1" s="1" t="inlineStr">
        <is>
          <t xml:space="preserve">Payment date</t>
        </is>
      </c>
      <c r="AL1" s="1" t="inlineStr">
        <is>
          <t xml:space="preserve">Status</t>
        </is>
      </c>
      <c r="AM1" s="1" t="inlineStr">
        <is>
          <t xml:space="preserve">Comments</t>
        </is>
      </c>
      <c r="AN1" s="1" t="inlineStr">
        <is>
          <t xml:space="preserve">Employee ID</t>
        </is>
      </c>
    </row>
    <row r="2">
      <c r="A2" s="6">
        <v>1</v>
      </c>
      <c r="B2" s="0" t="inlineStr">
        <is>
          <t xml:space="preserve">Khushboo Verma</t>
        </is>
      </c>
      <c r="C2" s="5">
        <v>35000</v>
      </c>
      <c r="D2" s="5">
        <f>C2/F2</f>
      </c>
      <c r="E2" s="6">
        <v>30</v>
      </c>
      <c r="F2" s="6">
        <v>25</v>
      </c>
      <c r="G2" s="5">
        <f>D2/9</f>
      </c>
      <c r="H2" s="5">
        <f>G2/60</f>
      </c>
      <c r="I2" s="6">
        <f>45*J2</f>
      </c>
      <c r="J2" s="6">
        <v>14</v>
      </c>
      <c r="K2" s="6">
        <f>F2-J2</f>
      </c>
      <c r="L2" s="6">
        <v>0</v>
      </c>
      <c r="M2" s="6"/>
      <c r="N2" s="5">
        <f>L2*H2</f>
      </c>
      <c r="O2" s="0"/>
      <c r="P2" s="6">
        <v>751</v>
      </c>
      <c r="Q2" s="6">
        <v>0</v>
      </c>
      <c r="R2" s="6">
        <v>0</v>
      </c>
      <c r="S2" s="6">
        <f>P2+R2</f>
      </c>
      <c r="T2" s="5">
        <f>S2*H2</f>
      </c>
      <c r="U2" s="5">
        <f>Q2*H2</f>
      </c>
      <c r="V2" s="6">
        <v>0</v>
      </c>
      <c r="W2" s="6">
        <v>0</v>
      </c>
      <c r="X2" s="6">
        <v>0</v>
      </c>
      <c r="Y2" s="5">
        <f>X2*1.5</f>
      </c>
      <c r="Z2" s="6">
        <v>0</v>
      </c>
      <c r="AA2" s="5">
        <f>V2*D2/2</f>
      </c>
      <c r="AB2" s="5">
        <f>Y2+AA2+T2-U2</f>
      </c>
      <c r="AC2" s="6">
        <f>J2+L2</f>
      </c>
      <c r="AD2" s="5">
        <f>AC2*D2</f>
      </c>
      <c r="AE2" s="5">
        <v>0</v>
      </c>
      <c r="AF2" s="5">
        <v>0</v>
      </c>
      <c r="AG2" s="5">
        <f>AD2-AB2-AF2</f>
      </c>
      <c r="AH2" s="5">
        <f>AE2+AG2</f>
      </c>
      <c r="AI2" s="5">
        <v>13591.48</v>
      </c>
      <c r="AJ2" s="5">
        <f>AH2-AI2</f>
      </c>
      <c r="AK2" s="2">
        <v>46150</v>
      </c>
      <c r="AL2" s="0" t="inlineStr">
        <is>
          <t xml:space="preserve">Partially Paid</t>
        </is>
      </c>
      <c r="AM2" s="0"/>
      <c r="AN2" s="0"/>
    </row>
    <row r="3">
      <c r="A3" s="6">
        <v>2</v>
      </c>
      <c r="B3" s="0" t="inlineStr">
        <is>
          <t xml:space="preserve">Vijay Choudhary</t>
        </is>
      </c>
      <c r="C3" s="5">
        <v>21000</v>
      </c>
      <c r="D3" s="5">
        <f>C3/F3</f>
      </c>
      <c r="E3" s="6">
        <v>30</v>
      </c>
      <c r="F3" s="6">
        <v>25</v>
      </c>
      <c r="G3" s="5">
        <f>D3/9</f>
      </c>
      <c r="H3" s="5">
        <f>G3/60</f>
      </c>
      <c r="I3" s="6">
        <f>45*J3</f>
      </c>
      <c r="J3" s="6">
        <v>21</v>
      </c>
      <c r="K3" s="6">
        <f>F3-J3</f>
      </c>
      <c r="L3" s="6">
        <v>0</v>
      </c>
      <c r="M3" s="6"/>
      <c r="N3" s="5">
        <f>L3*H3</f>
      </c>
      <c r="O3" s="0"/>
      <c r="P3" s="6">
        <v>162</v>
      </c>
      <c r="Q3" s="6">
        <v>0</v>
      </c>
      <c r="R3" s="6">
        <v>0</v>
      </c>
      <c r="S3" s="6">
        <f>P3+R3</f>
      </c>
      <c r="T3" s="5">
        <f>S3*H3</f>
      </c>
      <c r="U3" s="5">
        <f>Q3*H3</f>
      </c>
      <c r="V3" s="6">
        <v>0</v>
      </c>
      <c r="W3" s="6">
        <v>0</v>
      </c>
      <c r="X3" s="6">
        <v>0</v>
      </c>
      <c r="Y3" s="5">
        <f>X3*1.5</f>
      </c>
      <c r="Z3" s="6">
        <v>0</v>
      </c>
      <c r="AA3" s="5">
        <f>V3*D3/2</f>
      </c>
      <c r="AB3" s="5">
        <f>Y3+AA3+T3-U3</f>
      </c>
      <c r="AC3" s="6">
        <f>J3+L3</f>
      </c>
      <c r="AD3" s="5">
        <f>AC3*D3</f>
      </c>
      <c r="AE3" s="5">
        <v>0</v>
      </c>
      <c r="AF3" s="5">
        <v>0</v>
      </c>
      <c r="AG3" s="5">
        <f>AD3-AB3-AF3</f>
      </c>
      <c r="AH3" s="5">
        <f>AE3+AG3</f>
      </c>
      <c r="AI3" s="5">
        <v>13169.44</v>
      </c>
      <c r="AJ3" s="5">
        <f>AH3-AI3</f>
      </c>
      <c r="AK3" s="2">
        <v>46150</v>
      </c>
      <c r="AL3" s="0" t="inlineStr">
        <is>
          <t xml:space="preserve">Partially Paid</t>
        </is>
      </c>
      <c r="AM3" s="0"/>
      <c r="AN3" s="0"/>
    </row>
    <row r="4">
      <c r="A4" s="6">
        <v>3</v>
      </c>
      <c r="B4" s="0" t="inlineStr">
        <is>
          <t xml:space="preserve">Risha Gangrade</t>
        </is>
      </c>
      <c r="C4" s="5">
        <v>15000</v>
      </c>
      <c r="D4" s="5">
        <f>C4/F4</f>
      </c>
      <c r="E4" s="6">
        <v>30</v>
      </c>
      <c r="F4" s="6">
        <v>25</v>
      </c>
      <c r="G4" s="5">
        <f>D4/9</f>
      </c>
      <c r="H4" s="5">
        <f>G4/60</f>
      </c>
      <c r="I4" s="6">
        <f>45*J4</f>
      </c>
      <c r="J4" s="6">
        <v>23</v>
      </c>
      <c r="K4" s="6">
        <f>F4-J4</f>
      </c>
      <c r="L4" s="6">
        <v>0</v>
      </c>
      <c r="M4" s="6"/>
      <c r="N4" s="5">
        <f>L4*H4</f>
      </c>
      <c r="O4" s="0"/>
      <c r="P4" s="6">
        <v>0</v>
      </c>
      <c r="Q4" s="6">
        <v>0</v>
      </c>
      <c r="R4" s="6">
        <v>0</v>
      </c>
      <c r="S4" s="6">
        <f>P4+R4</f>
      </c>
      <c r="T4" s="5">
        <f>S4*H4</f>
      </c>
      <c r="U4" s="5">
        <f>Q4*H4</f>
      </c>
      <c r="V4" s="6">
        <v>0</v>
      </c>
      <c r="W4" s="6">
        <v>0</v>
      </c>
      <c r="X4" s="6">
        <v>0</v>
      </c>
      <c r="Y4" s="5">
        <f>X4*1.5</f>
      </c>
      <c r="Z4" s="6">
        <v>0</v>
      </c>
      <c r="AA4" s="5">
        <f>V4*D4/2</f>
      </c>
      <c r="AB4" s="5">
        <f>Y4+AA4+T4-U4</f>
      </c>
      <c r="AC4" s="6">
        <f>J4+L4</f>
      </c>
      <c r="AD4" s="5">
        <f>AC4*D4</f>
      </c>
      <c r="AE4" s="5">
        <v>0</v>
      </c>
      <c r="AF4" s="5">
        <v>0</v>
      </c>
      <c r="AG4" s="5">
        <f>AD4-AB4-AF4</f>
      </c>
      <c r="AH4" s="5">
        <f>AE4+AG4</f>
      </c>
      <c r="AI4" s="5">
        <v>9000</v>
      </c>
      <c r="AJ4" s="5">
        <f>AH4-AI4</f>
      </c>
      <c r="AK4" s="2">
        <v>46150</v>
      </c>
      <c r="AL4" s="0" t="inlineStr">
        <is>
          <t xml:space="preserve">Partially Paid</t>
        </is>
      </c>
      <c r="AM4" s="0"/>
      <c r="AN4" s="0"/>
    </row>
  </sheetData>
  <dataValidations count="19">
    <dataValidation type="decimal" allowBlank="1" showErrorMessage="1" sqref="A2:A500" operator="greaterThanOrEqual" errorTitle="Invalid value" error="A number, 0 or more.">
      <formula1>0</formula1>
    </dataValidation>
    <dataValidation type="custom" allowBlank="1" showErrorMessage="1" sqref="C2:C500" errorTitle="Invalid value" error="Amount with at most 2 decimals.">
      <formula1>AND(ISNUMBER(C2),ROUND(C2,2)=C2)</formula1>
    </dataValidation>
    <dataValidation type="custom" allowBlank="1" showErrorMessage="1" sqref="E2:E500" errorTitle="Invalid value" error="Days in steps of 0.5 (e.g. 1, 1.5).">
      <formula1>AND(ISNUMBER(E2),E2&gt;=0,MOD(E2*2,1)=0)</formula1>
    </dataValidation>
    <dataValidation type="custom" allowBlank="1" showErrorMessage="1" sqref="F2:F500" errorTitle="Invalid value" error="Days in steps of 0.5 (e.g. 1, 1.5).">
      <formula1>AND(ISNUMBER(F2),F2&gt;=0,MOD(F2*2,1)=0)</formula1>
    </dataValidation>
    <dataValidation type="custom" allowBlank="1" showErrorMessage="1" sqref="J2:J500" errorTitle="Invalid value" error="Days in steps of 0.5 (e.g. 1, 1.5).">
      <formula1>AND(ISNUMBER(J2),J2&gt;=0,MOD(J2*2,1)=0)</formula1>
    </dataValidation>
    <dataValidation type="custom" allowBlank="1" showErrorMessage="1" sqref="L2:L500" errorTitle="Invalid value" error="Days in steps of 0.5 (e.g. 1, 1.5).">
      <formula1>AND(ISNUMBER(L2),L2&gt;=0,MOD(L2*2,1)=0)</formula1>
    </dataValidation>
    <dataValidation type="custom" allowBlank="1" showErrorMessage="1" sqref="M2:M500" errorTitle="Invalid value" error="Days in steps of 0.5 (e.g. 1, 1.5).">
      <formula1>AND(ISNUMBER(M2),M2&gt;=0,MOD(M2*2,1)=0)</formula1>
    </dataValidation>
    <dataValidation type="decimal" allowBlank="1" showErrorMessage="1" sqref="P2:P500" operator="greaterThanOrEqual" errorTitle="Invalid value" error="A number, 0 or more.">
      <formula1>0</formula1>
    </dataValidation>
    <dataValidation type="decimal" allowBlank="1" showErrorMessage="1" sqref="Q2:Q500" operator="greaterThanOrEqual" errorTitle="Invalid value" error="A number, 0 or more.">
      <formula1>0</formula1>
    </dataValidation>
    <dataValidation type="decimal" allowBlank="1" showErrorMessage="1" sqref="R2:R500" operator="greaterThanOrEqual" errorTitle="Invalid value" error="A number, 0 or more.">
      <formula1>0</formula1>
    </dataValidation>
    <dataValidation type="custom" allowBlank="1" showErrorMessage="1" sqref="V2:V500" errorTitle="Invalid value" error="Days in steps of 0.5 (e.g. 1, 1.5).">
      <formula1>AND(ISNUMBER(V2),V2&gt;=0,MOD(V2*2,1)=0)</formula1>
    </dataValidation>
    <dataValidation type="custom" allowBlank="1" showErrorMessage="1" sqref="W2:W500" errorTitle="Invalid value" error="Days in steps of 0.5 (e.g. 1, 1.5).">
      <formula1>AND(ISNUMBER(W2),W2&gt;=0,MOD(W2*2,1)=0)</formula1>
    </dataValidation>
    <dataValidation type="decimal" allowBlank="1" showErrorMessage="1" sqref="X2:X500" operator="greaterThanOrEqual" errorTitle="Invalid value" error="A number, 0 or more.">
      <formula1>0</formula1>
    </dataValidation>
    <dataValidation type="decimal" allowBlank="1" showErrorMessage="1" sqref="Z2:Z500" operator="greaterThanOrEqual" errorTitle="Invalid value" error="A number, 0 or more.">
      <formula1>0</formula1>
    </dataValidation>
    <dataValidation type="custom" allowBlank="1" showErrorMessage="1" sqref="AE2:AE500" errorTitle="Invalid value" error="Amount with at most 2 decimals.">
      <formula1>AND(ISNUMBER(AE2),ROUND(AE2,2)=AE2)</formula1>
    </dataValidation>
    <dataValidation type="custom" allowBlank="1" showErrorMessage="1" sqref="AF2:AF500" errorTitle="Invalid value" error="Amount with at most 2 decimals.">
      <formula1>AND(ISNUMBER(AF2),ROUND(AF2,2)=AF2)</formula1>
    </dataValidation>
    <dataValidation type="custom" allowBlank="1" showErrorMessage="1" sqref="AI2:AI500" errorTitle="Invalid value" error="Amount with at most 2 decimals.">
      <formula1>AND(ISNUMBER(AI2),ROUND(AI2,2)=AI2)</formula1>
    </dataValidation>
    <dataValidation type="date" allowBlank="1" showErrorMessage="1" sqref="AK2:AK500" operator="greaterThan" errorTitle="Invalid value" error="Enter a date.">
      <formula1>36526</formula1>
    </dataValidation>
    <dataValidation type="list" allowBlank="1" showErrorMessage="1" sqref="AL2:AL500" errorTitle="Invalid value" error="Paid, Partially Paid or Unpaid.">
      <formula1>"Paid,Partially Paid,Unpaid"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0" customWidth="1"/>
    <col min="3" max="3" width="20" customWidth="1"/>
    <col min="4" max="4" width="22" customWidth="1"/>
    <col min="5" max="5" width="60" customWidth="1"/>
  </cols>
  <sheetData>
    <row r="1">
      <c r="A1" s="1" t="inlineStr">
        <is>
          <t xml:space="preserve">Column</t>
        </is>
      </c>
      <c r="B1" s="1" t="inlineStr">
        <is>
          <t xml:space="preserve">Header</t>
        </is>
      </c>
      <c r="C1" s="1" t="inlineStr">
        <is>
          <t xml:space="preserve">Type</t>
        </is>
      </c>
      <c r="D1" s="1" t="inlineStr">
        <is>
          <t xml:space="preserve">Formula</t>
        </is>
      </c>
      <c r="E1" s="1" t="inlineStr">
        <is>
          <t xml:space="preserve">Meaning</t>
        </is>
      </c>
    </row>
    <row r="2">
      <c r="A2" s="0" t="inlineStr">
        <is>
          <t xml:space="preserve">A</t>
        </is>
      </c>
      <c r="B2" s="0" t="inlineStr">
        <is>
          <t xml:space="preserve">S. No.</t>
        </is>
      </c>
      <c r="C2" s="0" t="inlineStr">
        <is>
          <t xml:space="preserve">Number</t>
        </is>
      </c>
      <c r="D2" s="0" t="inlineStr">
        <is>
          <t xml:space="preserve">entered</t>
        </is>
      </c>
      <c r="E2" s="8" t="inlineStr">
        <is>
          <t xml:space="preserve">Serial number</t>
        </is>
      </c>
    </row>
    <row r="3">
      <c r="A3" s="0" t="inlineStr">
        <is>
          <t xml:space="preserve">B</t>
        </is>
      </c>
      <c r="B3" s="0" t="inlineStr">
        <is>
          <t xml:space="preserve">Name</t>
        </is>
      </c>
      <c r="C3" s="0" t="inlineStr">
        <is>
          <t xml:space="preserve">Text</t>
        </is>
      </c>
      <c r="D3" s="0" t="inlineStr">
        <is>
          <t xml:space="preserve">entered</t>
        </is>
      </c>
      <c r="E3" s="8" t="inlineStr">
        <is>
          <t xml:space="preserve">Employee name — used to match the HRMS employee when there is no Employee ID</t>
        </is>
      </c>
    </row>
    <row r="4">
      <c r="A4" s="0" t="inlineStr">
        <is>
          <t xml:space="preserve">C</t>
        </is>
      </c>
      <c r="B4" s="0" t="inlineStr">
        <is>
          <t xml:space="preserve">Basic salary</t>
        </is>
      </c>
      <c r="C4" s="0" t="inlineStr">
        <is>
          <t xml:space="preserve">Currency (₹)</t>
        </is>
      </c>
      <c r="D4" s="0" t="inlineStr">
        <is>
          <t xml:space="preserve">entered</t>
        </is>
      </c>
      <c r="E4" s="8" t="inlineStr">
        <is>
          <t xml:space="preserve">Monthly basic salary</t>
        </is>
      </c>
    </row>
    <row r="5">
      <c r="A5" s="0" t="inlineStr">
        <is>
          <t xml:space="preserve">D</t>
        </is>
      </c>
      <c r="B5" s="0" t="inlineStr">
        <is>
          <t xml:space="preserve">Salary par day (C/F)</t>
        </is>
      </c>
      <c r="C5" s="0" t="inlineStr">
        <is>
          <t xml:space="preserve">Currency (₹)</t>
        </is>
      </c>
      <c r="D5" s="0" t="inlineStr">
        <is>
          <t xml:space="preserve">=C/F</t>
        </is>
      </c>
      <c r="E5" s="8" t="inlineStr">
        <is>
          <t xml:space="preserve">Basic salary ÷ total working days</t>
        </is>
      </c>
    </row>
    <row r="6">
      <c r="A6" s="0" t="inlineStr">
        <is>
          <t xml:space="preserve">E</t>
        </is>
      </c>
      <c r="B6" s="0" t="inlineStr">
        <is>
          <t xml:space="preserve">Total monthly days</t>
        </is>
      </c>
      <c r="C6" s="0" t="inlineStr">
        <is>
          <t xml:space="preserve">Decimal (0.5 steps)</t>
        </is>
      </c>
      <c r="D6" s="0" t="inlineStr">
        <is>
          <t xml:space="preserve">entered</t>
        </is>
      </c>
      <c r="E6" s="8" t="inlineStr">
        <is>
          <t xml:space="preserve">Days in the month</t>
        </is>
      </c>
    </row>
    <row r="7">
      <c r="A7" s="0" t="inlineStr">
        <is>
          <t xml:space="preserve">F</t>
        </is>
      </c>
      <c r="B7" s="0" t="inlineStr">
        <is>
          <t xml:space="preserve">Total working days</t>
        </is>
      </c>
      <c r="C7" s="0" t="inlineStr">
        <is>
          <t xml:space="preserve">Decimal (0.5 steps)</t>
        </is>
      </c>
      <c r="D7" s="0" t="inlineStr">
        <is>
          <t xml:space="preserve">entered</t>
        </is>
      </c>
      <c r="E7" s="8" t="inlineStr">
        <is>
          <t xml:space="preserve">Working days in the month</t>
        </is>
      </c>
    </row>
    <row r="8">
      <c r="A8" s="0" t="inlineStr">
        <is>
          <t xml:space="preserve">G</t>
        </is>
      </c>
      <c r="B8" s="0" t="inlineStr">
        <is>
          <t xml:space="preserve">Per hour salary (D/9)</t>
        </is>
      </c>
      <c r="C8" s="0" t="inlineStr">
        <is>
          <t xml:space="preserve">Currency (₹)</t>
        </is>
      </c>
      <c r="D8" s="0" t="inlineStr">
        <is>
          <t xml:space="preserve">=D/9</t>
        </is>
      </c>
      <c r="E8" s="8" t="inlineStr">
        <is>
          <t xml:space="preserve">Salary per day ÷ 9 hours</t>
        </is>
      </c>
    </row>
    <row r="9">
      <c r="A9" s="0" t="inlineStr">
        <is>
          <t xml:space="preserve">H</t>
        </is>
      </c>
      <c r="B9" s="0" t="inlineStr">
        <is>
          <t xml:space="preserve">Per minute salary (G/60)</t>
        </is>
      </c>
      <c r="C9" s="0" t="inlineStr">
        <is>
          <t xml:space="preserve">Currency (₹)</t>
        </is>
      </c>
      <c r="D9" s="0" t="inlineStr">
        <is>
          <t xml:space="preserve">=G/60</t>
        </is>
      </c>
      <c r="E9" s="8" t="inlineStr">
        <is>
          <t xml:space="preserve">Per hour salary ÷ 60</t>
        </is>
      </c>
    </row>
    <row r="10">
      <c r="A10" s="0" t="inlineStr">
        <is>
          <t xml:space="preserve">I</t>
        </is>
      </c>
      <c r="B10" s="0" t="inlineStr">
        <is>
          <t xml:space="preserve">Total lunch time given (45 * J)</t>
        </is>
      </c>
      <c r="C10" s="0" t="inlineStr">
        <is>
          <t xml:space="preserve">Number</t>
        </is>
      </c>
      <c r="D10" s="0" t="inlineStr">
        <is>
          <t xml:space="preserve">=45*J</t>
        </is>
      </c>
      <c r="E10" s="8" t="inlineStr">
        <is>
          <t xml:space="preserve">45 minutes × present days</t>
        </is>
      </c>
    </row>
    <row r="11">
      <c r="A11" s="0" t="inlineStr">
        <is>
          <t xml:space="preserve">J</t>
        </is>
      </c>
      <c r="B11" s="0" t="inlineStr">
        <is>
          <t xml:space="preserve">Present days </t>
        </is>
      </c>
      <c r="C11" s="0" t="inlineStr">
        <is>
          <t xml:space="preserve">Decimal (0.5 steps)</t>
        </is>
      </c>
      <c r="D11" s="0" t="inlineStr">
        <is>
          <t xml:space="preserve">entered</t>
        </is>
      </c>
      <c r="E11" s="8" t="inlineStr">
        <is>
          <t xml:space="preserve">Days present</t>
        </is>
      </c>
    </row>
    <row r="12">
      <c r="A12" s="0" t="inlineStr">
        <is>
          <t xml:space="preserve">K</t>
        </is>
      </c>
      <c r="B12" s="0" t="inlineStr">
        <is>
          <t xml:space="preserve">Leave days (F-J)</t>
        </is>
      </c>
      <c r="C12" s="0" t="inlineStr">
        <is>
          <t xml:space="preserve">Decimal (0.5 steps)</t>
        </is>
      </c>
      <c r="D12" s="0" t="inlineStr">
        <is>
          <t xml:space="preserve">=F-J</t>
        </is>
      </c>
      <c r="E12" s="8" t="inlineStr">
        <is>
          <t xml:space="preserve">Working days − present days</t>
        </is>
      </c>
    </row>
    <row r="13">
      <c r="A13" s="0" t="inlineStr">
        <is>
          <t xml:space="preserve">L</t>
        </is>
      </c>
      <c r="B13" s="0" t="inlineStr">
        <is>
          <t xml:space="preserve">Paid leave</t>
        </is>
      </c>
      <c r="C13" s="0" t="inlineStr">
        <is>
          <t xml:space="preserve">Decimal (0.5 steps)</t>
        </is>
      </c>
      <c r="D13" s="0" t="inlineStr">
        <is>
          <t xml:space="preserve">entered</t>
        </is>
      </c>
      <c r="E13" s="8" t="inlineStr">
        <is>
          <t xml:space="preserve">Paid leave days</t>
        </is>
      </c>
    </row>
    <row r="14">
      <c r="A14" s="0" t="inlineStr">
        <is>
          <t xml:space="preserve">M</t>
        </is>
      </c>
      <c r="B14" s="0" t="inlineStr">
        <is>
          <t xml:space="preserve">Oficial 3rd saturday and Sunday work </t>
        </is>
      </c>
      <c r="C14" s="0" t="inlineStr">
        <is>
          <t xml:space="preserve">Decimal (0.5 steps)</t>
        </is>
      </c>
      <c r="D14" s="0" t="inlineStr">
        <is>
          <t xml:space="preserve">entered</t>
        </is>
      </c>
      <c r="E14" s="8" t="inlineStr">
        <is>
          <t xml:space="preserve">Official 3rd Saturday / Sunday worked</t>
        </is>
      </c>
    </row>
    <row r="15">
      <c r="A15" s="0" t="inlineStr">
        <is>
          <t xml:space="preserve">N</t>
        </is>
      </c>
      <c r="B15" s="0" t="inlineStr">
        <is>
          <t xml:space="preserve">Saturday salary bonus (L*H)</t>
        </is>
      </c>
      <c r="C15" s="0" t="inlineStr">
        <is>
          <t xml:space="preserve">Currency (₹)</t>
        </is>
      </c>
      <c r="D15" s="0" t="inlineStr">
        <is>
          <t xml:space="preserve">=L*H</t>
        </is>
      </c>
      <c r="E15" s="8" t="inlineStr">
        <is>
          <t xml:space="preserve">As in the sheet: L × H</t>
        </is>
      </c>
    </row>
    <row r="16">
      <c r="A16" s="0" t="inlineStr">
        <is>
          <t xml:space="preserve">O</t>
        </is>
      </c>
      <c r="B16" s="0" t="inlineStr">
        <is>
          <t xml:space="preserve">Deduction payment reason</t>
        </is>
      </c>
      <c r="C16" s="0" t="inlineStr">
        <is>
          <t xml:space="preserve">Text</t>
        </is>
      </c>
      <c r="D16" s="0" t="inlineStr">
        <is>
          <t xml:space="preserve">entered</t>
        </is>
      </c>
      <c r="E16" s="8" t="inlineStr">
        <is>
          <t xml:space="preserve">Free text</t>
        </is>
      </c>
    </row>
    <row r="17">
      <c r="A17" s="0" t="inlineStr">
        <is>
          <t xml:space="preserve">P</t>
        </is>
      </c>
      <c r="B17" s="0" t="inlineStr">
        <is>
          <t xml:space="preserve">Late coming minutes</t>
        </is>
      </c>
      <c r="C17" s="0" t="inlineStr">
        <is>
          <t xml:space="preserve">Number</t>
        </is>
      </c>
      <c r="D17" s="0" t="inlineStr">
        <is>
          <t xml:space="preserve">entered</t>
        </is>
      </c>
      <c r="E17" s="8" t="inlineStr">
        <is>
          <t xml:space="preserve">Late minutes in the month</t>
        </is>
      </c>
    </row>
    <row r="18">
      <c r="A18" s="0" t="inlineStr">
        <is>
          <t xml:space="preserve">Q</t>
        </is>
      </c>
      <c r="B18" s="0" t="inlineStr">
        <is>
          <t xml:space="preserve">Adjusted late coming min</t>
        </is>
      </c>
      <c r="C18" s="0" t="inlineStr">
        <is>
          <t xml:space="preserve">Number</t>
        </is>
      </c>
      <c r="D18" s="0" t="inlineStr">
        <is>
          <t xml:space="preserve">entered</t>
        </is>
      </c>
      <c r="E18" s="8" t="inlineStr">
        <is>
          <t xml:space="preserve">Late minutes forgiven / adjusted</t>
        </is>
      </c>
    </row>
    <row r="19">
      <c r="A19" s="0" t="inlineStr">
        <is>
          <t xml:space="preserve">R</t>
        </is>
      </c>
      <c r="B19" s="0" t="inlineStr">
        <is>
          <t xml:space="preserve">Hourly leave minutes</t>
        </is>
      </c>
      <c r="C19" s="0" t="inlineStr">
        <is>
          <t xml:space="preserve">Number</t>
        </is>
      </c>
      <c r="D19" s="0" t="inlineStr">
        <is>
          <t xml:space="preserve">entered</t>
        </is>
      </c>
      <c r="E19" s="8" t="inlineStr">
        <is>
          <t xml:space="preserve">Minutes of hourly leave</t>
        </is>
      </c>
    </row>
    <row r="20">
      <c r="A20" s="0" t="inlineStr">
        <is>
          <t xml:space="preserve">S</t>
        </is>
      </c>
      <c r="B20" s="0" t="inlineStr">
        <is>
          <t xml:space="preserve">Late Coming and hourly leave plus P+R</t>
        </is>
      </c>
      <c r="C20" s="0" t="inlineStr">
        <is>
          <t xml:space="preserve">Number</t>
        </is>
      </c>
      <c r="D20" s="0" t="inlineStr">
        <is>
          <t xml:space="preserve">=P+R</t>
        </is>
      </c>
      <c r="E20" s="8" t="inlineStr">
        <is>
          <t xml:space="preserve">Late minutes + hourly leave minutes</t>
        </is>
      </c>
    </row>
    <row r="21">
      <c r="A21" s="0" t="inlineStr">
        <is>
          <t xml:space="preserve">T</t>
        </is>
      </c>
      <c r="B21" s="0" t="inlineStr">
        <is>
          <t xml:space="preserve">Late coming deduction (S*H) </t>
        </is>
      </c>
      <c r="C21" s="0" t="inlineStr">
        <is>
          <t xml:space="preserve">Currency (₹)</t>
        </is>
      </c>
      <c r="D21" s="0" t="inlineStr">
        <is>
          <t xml:space="preserve">=S*H</t>
        </is>
      </c>
      <c r="E21" s="8" t="inlineStr">
        <is>
          <t xml:space="preserve">Late + hourly leave minutes × per minute salary</t>
        </is>
      </c>
    </row>
    <row r="22">
      <c r="A22" s="0" t="inlineStr">
        <is>
          <t xml:space="preserve">U</t>
        </is>
      </c>
      <c r="B22" s="0" t="inlineStr">
        <is>
          <t xml:space="preserve">late coming adjusted (Q*H)</t>
        </is>
      </c>
      <c r="C22" s="0" t="inlineStr">
        <is>
          <t xml:space="preserve">Currency (₹)</t>
        </is>
      </c>
      <c r="D22" s="0" t="inlineStr">
        <is>
          <t xml:space="preserve">=Q*H</t>
        </is>
      </c>
      <c r="E22" s="8" t="inlineStr">
        <is>
          <t xml:space="preserve">Adjusted minutes × per minute salary (given back)</t>
        </is>
      </c>
    </row>
    <row r="23">
      <c r="A23" s="0" t="inlineStr">
        <is>
          <t xml:space="preserve">V</t>
        </is>
      </c>
      <c r="B23" s="0" t="inlineStr">
        <is>
          <t xml:space="preserve">Without application leave</t>
        </is>
      </c>
      <c r="C23" s="0" t="inlineStr">
        <is>
          <t xml:space="preserve">Decimal (0.5 steps)</t>
        </is>
      </c>
      <c r="D23" s="0" t="inlineStr">
        <is>
          <t xml:space="preserve">entered</t>
        </is>
      </c>
      <c r="E23" s="8" t="inlineStr">
        <is>
          <t xml:space="preserve">Leave days without application</t>
        </is>
      </c>
    </row>
    <row r="24">
      <c r="A24" s="0" t="inlineStr">
        <is>
          <t xml:space="preserve">W</t>
        </is>
      </c>
      <c r="B24" s="0" t="inlineStr">
        <is>
          <t xml:space="preserve">Without application SHORT leave</t>
        </is>
      </c>
      <c r="C24" s="0" t="inlineStr">
        <is>
          <t xml:space="preserve">Decimal (0.5 steps)</t>
        </is>
      </c>
      <c r="D24" s="0" t="inlineStr">
        <is>
          <t xml:space="preserve">entered</t>
        </is>
      </c>
      <c r="E24" s="8" t="inlineStr">
        <is>
          <t xml:space="preserve">Short leaves without application</t>
        </is>
      </c>
    </row>
    <row r="25">
      <c r="A25" s="0" t="inlineStr">
        <is>
          <t xml:space="preserve">X</t>
        </is>
      </c>
      <c r="B25" s="0" t="inlineStr">
        <is>
          <t xml:space="preserve">short leave in min (less than 8:30 hrs)</t>
        </is>
      </c>
      <c r="C25" s="0" t="inlineStr">
        <is>
          <t xml:space="preserve">Number</t>
        </is>
      </c>
      <c r="D25" s="0" t="inlineStr">
        <is>
          <t xml:space="preserve">entered</t>
        </is>
      </c>
      <c r="E25" s="8" t="inlineStr">
        <is>
          <t xml:space="preserve">Minutes short of an 8:30 day</t>
        </is>
      </c>
    </row>
    <row r="26">
      <c r="A26" s="0" t="inlineStr">
        <is>
          <t xml:space="preserve">Y</t>
        </is>
      </c>
      <c r="B26" s="0" t="inlineStr">
        <is>
          <t xml:space="preserve">Without app Short leave deduction (X*1.5)</t>
        </is>
      </c>
      <c r="C26" s="0" t="inlineStr">
        <is>
          <t xml:space="preserve">Currency (₹)</t>
        </is>
      </c>
      <c r="D26" s="0" t="inlineStr">
        <is>
          <t xml:space="preserve">=X*1.5</t>
        </is>
      </c>
      <c r="E26" s="8" t="inlineStr">
        <is>
          <t xml:space="preserve">Short minutes × 1.5</t>
        </is>
      </c>
    </row>
    <row r="27">
      <c r="A27" s="0" t="inlineStr">
        <is>
          <t xml:space="preserve">Z</t>
        </is>
      </c>
      <c r="B27" s="0" t="inlineStr">
        <is>
          <t xml:space="preserve">Task email missing</t>
        </is>
      </c>
      <c r="C27" s="0" t="inlineStr">
        <is>
          <t xml:space="preserve">Number</t>
        </is>
      </c>
      <c r="D27" s="0" t="inlineStr">
        <is>
          <t xml:space="preserve">entered</t>
        </is>
      </c>
      <c r="E27" s="8" t="inlineStr">
        <is>
          <t xml:space="preserve">Days the task e-mail was missing</t>
        </is>
      </c>
    </row>
    <row r="28">
      <c r="A28" s="0" t="inlineStr">
        <is>
          <t xml:space="preserve">AA</t>
        </is>
      </c>
      <c r="B28" s="0" t="inlineStr">
        <is>
          <t xml:space="preserve">Without application 1 day deduction (V*D/2)</t>
        </is>
      </c>
      <c r="C28" s="0" t="inlineStr">
        <is>
          <t xml:space="preserve">Currency (₹)</t>
        </is>
      </c>
      <c r="D28" s="0" t="inlineStr">
        <is>
          <t xml:space="preserve">=V*D/2</t>
        </is>
      </c>
      <c r="E28" s="8" t="inlineStr">
        <is>
          <t xml:space="preserve">Leave without application × salary per day ÷ 2</t>
        </is>
      </c>
    </row>
    <row r="29">
      <c r="A29" s="0" t="inlineStr">
        <is>
          <t xml:space="preserve">AB</t>
        </is>
      </c>
      <c r="B29" s="0" t="inlineStr">
        <is>
          <t xml:space="preserve">Total payment deduction (Y+AA+T-U)</t>
        </is>
      </c>
      <c r="C29" s="0" t="inlineStr">
        <is>
          <t xml:space="preserve">Currency (₹)</t>
        </is>
      </c>
      <c r="D29" s="0" t="inlineStr">
        <is>
          <t xml:space="preserve">=Y+AA+T-U</t>
        </is>
      </c>
      <c r="E29" s="8" t="inlineStr">
        <is>
          <t xml:space="preserve">Short leave + without-application + late deductions − adjusted</t>
        </is>
      </c>
    </row>
    <row r="30">
      <c r="A30" s="0" t="inlineStr">
        <is>
          <t xml:space="preserve">AC</t>
        </is>
      </c>
      <c r="B30" s="0" t="inlineStr">
        <is>
          <t xml:space="preserve">Total salary paid days (J+L)</t>
        </is>
      </c>
      <c r="C30" s="0" t="inlineStr">
        <is>
          <t xml:space="preserve">Decimal (0.5 steps)</t>
        </is>
      </c>
      <c r="D30" s="0" t="inlineStr">
        <is>
          <t xml:space="preserve">=J+L</t>
        </is>
      </c>
      <c r="E30" s="8" t="inlineStr">
        <is>
          <t xml:space="preserve">Present days + paid leave</t>
        </is>
      </c>
    </row>
    <row r="31">
      <c r="A31" s="0" t="inlineStr">
        <is>
          <t xml:space="preserve">AD</t>
        </is>
      </c>
      <c r="B31" s="0" t="inlineStr">
        <is>
          <t xml:space="preserve">Salary before adjustment (AC*D)</t>
        </is>
      </c>
      <c r="C31" s="0" t="inlineStr">
        <is>
          <t xml:space="preserve">Currency (₹)</t>
        </is>
      </c>
      <c r="D31" s="0" t="inlineStr">
        <is>
          <t xml:space="preserve">=AC*D</t>
        </is>
      </c>
      <c r="E31" s="8" t="inlineStr">
        <is>
          <t xml:space="preserve">Paid days × salary per day</t>
        </is>
      </c>
    </row>
    <row r="32">
      <c r="A32" s="0" t="inlineStr">
        <is>
          <t xml:space="preserve">AE</t>
        </is>
      </c>
      <c r="B32" s="0" t="inlineStr">
        <is>
          <t xml:space="preserve">Increment/Bonus amount</t>
        </is>
      </c>
      <c r="C32" s="0" t="inlineStr">
        <is>
          <t xml:space="preserve">Currency (₹)</t>
        </is>
      </c>
      <c r="D32" s="0" t="inlineStr">
        <is>
          <t xml:space="preserve">entered</t>
        </is>
      </c>
      <c r="E32" s="8" t="inlineStr">
        <is>
          <t xml:space="preserve">Increment or bonus</t>
        </is>
      </c>
    </row>
    <row r="33">
      <c r="A33" s="0" t="inlineStr">
        <is>
          <t xml:space="preserve">AF</t>
        </is>
      </c>
      <c r="B33" s="0" t="inlineStr">
        <is>
          <t xml:space="preserve">TDS</t>
        </is>
      </c>
      <c r="C33" s="0" t="inlineStr">
        <is>
          <t xml:space="preserve">Currency (₹)</t>
        </is>
      </c>
      <c r="D33" s="0" t="inlineStr">
        <is>
          <t xml:space="preserve">entered</t>
        </is>
      </c>
      <c r="E33" s="8" t="inlineStr">
        <is>
          <t xml:space="preserve">Tax deducted at source</t>
        </is>
      </c>
    </row>
    <row r="34">
      <c r="A34" s="0" t="inlineStr">
        <is>
          <t xml:space="preserve">AG</t>
        </is>
      </c>
      <c r="B34" s="0" t="inlineStr">
        <is>
          <t xml:space="preserve">Salary after deduction (AD-AB- AF)</t>
        </is>
      </c>
      <c r="C34" s="0" t="inlineStr">
        <is>
          <t xml:space="preserve">Currency (₹)</t>
        </is>
      </c>
      <c r="D34" s="0" t="inlineStr">
        <is>
          <t xml:space="preserve">=AD-AB-AF</t>
        </is>
      </c>
      <c r="E34" s="8" t="inlineStr">
        <is>
          <t xml:space="preserve">Salary before adjustment − deductions − TDS</t>
        </is>
      </c>
    </row>
    <row r="35">
      <c r="A35" s="0" t="inlineStr">
        <is>
          <t xml:space="preserve">AH</t>
        </is>
      </c>
      <c r="B35" s="0" t="inlineStr">
        <is>
          <t xml:space="preserve">Total salary included bonus (AF+AE)</t>
        </is>
      </c>
      <c r="C35" s="0" t="inlineStr">
        <is>
          <t xml:space="preserve">Currency (₹)</t>
        </is>
      </c>
      <c r="D35" s="0" t="inlineStr">
        <is>
          <t xml:space="preserve">=AE+AG</t>
        </is>
      </c>
      <c r="E35" s="8" t="inlineStr">
        <is>
          <t xml:space="preserve">Salary after deduction + bonus (the sheet computes AE+AG)</t>
        </is>
      </c>
    </row>
    <row r="36">
      <c r="A36" s="0" t="inlineStr">
        <is>
          <t xml:space="preserve">AI</t>
        </is>
      </c>
      <c r="B36" s="0" t="inlineStr">
        <is>
          <t xml:space="preserve">Salary paid</t>
        </is>
      </c>
      <c r="C36" s="0" t="inlineStr">
        <is>
          <t xml:space="preserve">Currency (₹)</t>
        </is>
      </c>
      <c r="D36" s="0" t="inlineStr">
        <is>
          <t xml:space="preserve">entered</t>
        </is>
      </c>
      <c r="E36" s="8" t="inlineStr">
        <is>
          <t xml:space="preserve">Amount actually paid</t>
        </is>
      </c>
    </row>
    <row r="37">
      <c r="A37" s="0" t="inlineStr">
        <is>
          <t xml:space="preserve">AJ</t>
        </is>
      </c>
      <c r="B37" s="0" t="inlineStr">
        <is>
          <t xml:space="preserve">salary remains(AH-AI)</t>
        </is>
      </c>
      <c r="C37" s="0" t="inlineStr">
        <is>
          <t xml:space="preserve">Currency (₹)</t>
        </is>
      </c>
      <c r="D37" s="0" t="inlineStr">
        <is>
          <t xml:space="preserve">=AH-AI</t>
        </is>
      </c>
      <c r="E37" s="8" t="inlineStr">
        <is>
          <t xml:space="preserve">Total salary incl. bonus − salary paid</t>
        </is>
      </c>
    </row>
    <row r="38">
      <c r="A38" s="0" t="inlineStr">
        <is>
          <t xml:space="preserve">AK</t>
        </is>
      </c>
      <c r="B38" s="0" t="inlineStr">
        <is>
          <t xml:space="preserve">Payment date</t>
        </is>
      </c>
      <c r="C38" s="0" t="inlineStr">
        <is>
          <t xml:space="preserve">Date</t>
        </is>
      </c>
      <c r="D38" s="0" t="inlineStr">
        <is>
          <t xml:space="preserve">entered</t>
        </is>
      </c>
      <c r="E38" s="8" t="inlineStr">
        <is>
          <t xml:space="preserve">Date paid (Excel date or YYYY-MM-DD)</t>
        </is>
      </c>
    </row>
    <row r="39">
      <c r="A39" s="0" t="inlineStr">
        <is>
          <t xml:space="preserve">AL</t>
        </is>
      </c>
      <c r="B39" s="0" t="inlineStr">
        <is>
          <t xml:space="preserve">Status</t>
        </is>
      </c>
      <c r="C39" s="0" t="inlineStr">
        <is>
          <t xml:space="preserve">Text</t>
        </is>
      </c>
      <c r="D39" s="0" t="inlineStr">
        <is>
          <t xml:space="preserve">entered</t>
        </is>
      </c>
      <c r="E39" s="8" t="inlineStr">
        <is>
          <t xml:space="preserve">Paid / Partially Paid / Unpaid</t>
        </is>
      </c>
    </row>
    <row r="40">
      <c r="A40" s="0" t="inlineStr">
        <is>
          <t xml:space="preserve">AM</t>
        </is>
      </c>
      <c r="B40" s="0" t="inlineStr">
        <is>
          <t xml:space="preserve">Comments</t>
        </is>
      </c>
      <c r="C40" s="0" t="inlineStr">
        <is>
          <t xml:space="preserve">Text</t>
        </is>
      </c>
      <c r="D40" s="0" t="inlineStr">
        <is>
          <t xml:space="preserve">entered</t>
        </is>
      </c>
      <c r="E40" s="8" t="inlineStr">
        <is>
          <t xml:space="preserve">Free text</t>
        </is>
      </c>
    </row>
    <row r="41">
      <c r="A41" s="0" t="inlineStr">
        <is>
          <t xml:space="preserve">AN</t>
        </is>
      </c>
      <c r="B41" s="0" t="inlineStr">
        <is>
          <t xml:space="preserve">Employee ID</t>
        </is>
      </c>
      <c r="C41" s="0" t="inlineStr">
        <is>
          <t xml:space="preserve">Text</t>
        </is>
      </c>
      <c r="D41" s="0" t="inlineStr">
        <is>
          <t xml:space="preserve">entered</t>
        </is>
      </c>
      <c r="E41" s="8" t="inlineStr">
        <is>
          <t xml:space="preserve">Optional: HRMS employee code — the surest match (otherwise the name is used)</t>
        </is>
      </c>
    </row>
    <row r="42">
      <c r="A42" s="0" t="inlineStr">
        <is>
          <t xml:space="preserve">AO</t>
        </is>
      </c>
      <c r="B42" s="0" t="inlineStr">
        <is>
          <t xml:space="preserve">Payroll Month</t>
        </is>
      </c>
      <c r="C42" s="0" t="inlineStr">
        <is>
          <t xml:space="preserve">Text YYYY-MM</t>
        </is>
      </c>
      <c r="D42" s="0" t="inlineStr">
        <is>
          <t xml:space="preserve">entered</t>
        </is>
      </c>
      <c r="E42" s="8" t="inlineStr">
        <is>
          <t xml:space="preserve">Only when the sheet is not named by month: YYYY-MM (e.g. 2026-04)</t>
        </is>
      </c>
    </row>
    <row r="43">
      <c r="A43" s="0"/>
      <c r="B43" s="0"/>
      <c r="C43" s="0"/>
      <c r="D43" s="0"/>
      <c r="E43" s="8"/>
    </row>
    <row r="44">
      <c r="A44" s="0"/>
      <c r="B44" s="0" t="inlineStr">
        <is>
          <t xml:space="preserve">How to use</t>
        </is>
      </c>
      <c r="C44" s="0"/>
      <c r="D44" s="0"/>
      <c r="E44" s="8" t="inlineStr">
        <is>
          <t xml:space="preserve">One sheet per month, named like "April-2026" (copy the sheet for May-2026 …). One row per employee. Free-text lines under a row (e.g. "3000 paid 12 Oct") are kept as notes on that row. HRMS stores every value as written — nothing is recalculated.</t>
        </is>
      </c>
    </row>
  </sheetData>
</worksheet>
</file>