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2148FBD-AAB0-4A29-9E8B-C43B5A50D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  <sheet name="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I25" i="1"/>
  <c r="H25" i="1"/>
  <c r="J25" i="1" s="1"/>
  <c r="I17" i="1"/>
  <c r="H17" i="1"/>
  <c r="J17" i="1" s="1"/>
  <c r="H18" i="1"/>
  <c r="I18" i="1"/>
  <c r="I16" i="1"/>
  <c r="H16" i="1"/>
  <c r="J16" i="1" s="1"/>
  <c r="I15" i="1"/>
  <c r="H15" i="1"/>
  <c r="J15" i="1" s="1"/>
  <c r="I14" i="1"/>
  <c r="H14" i="1"/>
  <c r="J14" i="1" s="1"/>
  <c r="I12" i="1"/>
  <c r="H12" i="1"/>
  <c r="J12" i="1" s="1"/>
  <c r="I11" i="1"/>
  <c r="H11" i="1"/>
  <c r="J11" i="1" s="1"/>
  <c r="I10" i="1"/>
  <c r="H10" i="1"/>
  <c r="J10" i="1" s="1"/>
  <c r="I9" i="1"/>
  <c r="H9" i="1"/>
  <c r="J9" i="1" s="1"/>
  <c r="I27" i="1"/>
  <c r="H27" i="1"/>
  <c r="J27" i="1" s="1"/>
  <c r="I20" i="1"/>
  <c r="H20" i="1"/>
  <c r="J20" i="1" s="1"/>
  <c r="I19" i="1"/>
  <c r="H19" i="1"/>
  <c r="J19" i="1" s="1"/>
  <c r="I24" i="1"/>
  <c r="H24" i="1"/>
  <c r="I26" i="1"/>
  <c r="H26" i="1"/>
  <c r="I28" i="1"/>
  <c r="H28" i="1"/>
  <c r="I29" i="1"/>
  <c r="H29" i="1"/>
  <c r="I30" i="1"/>
  <c r="H30" i="1"/>
  <c r="I31" i="1"/>
  <c r="H31" i="1"/>
  <c r="I23" i="1"/>
  <c r="H23" i="1"/>
  <c r="I21" i="1"/>
  <c r="H21" i="1"/>
  <c r="I22" i="1"/>
  <c r="H22" i="1"/>
  <c r="H13" i="1"/>
  <c r="J13" i="1" s="1"/>
  <c r="I13" i="1"/>
  <c r="I8" i="1"/>
  <c r="H8" i="1"/>
  <c r="I7" i="1"/>
  <c r="H7" i="1"/>
  <c r="H6" i="1"/>
  <c r="I6" i="1"/>
  <c r="I5" i="1"/>
  <c r="H5" i="1"/>
  <c r="I4" i="1"/>
  <c r="H4" i="1"/>
  <c r="I3" i="1"/>
  <c r="H3" i="1"/>
  <c r="I2" i="1"/>
  <c r="H2" i="1"/>
  <c r="J30" i="1" l="1"/>
  <c r="K30" i="1" s="1"/>
  <c r="J29" i="1"/>
  <c r="K29" i="1" s="1"/>
  <c r="J28" i="1"/>
  <c r="K28" i="1" s="1"/>
  <c r="J31" i="1"/>
  <c r="K31" i="1" s="1"/>
  <c r="J26" i="1"/>
  <c r="K26" i="1" s="1"/>
  <c r="J22" i="1"/>
  <c r="K22" i="1" s="1"/>
  <c r="J24" i="1"/>
  <c r="K24" i="1" s="1"/>
  <c r="J21" i="1"/>
  <c r="K21" i="1" s="1"/>
  <c r="J23" i="1"/>
  <c r="K23" i="1" s="1"/>
  <c r="J18" i="1"/>
  <c r="K18" i="1" s="1"/>
  <c r="J8" i="1"/>
  <c r="J7" i="1"/>
  <c r="J6" i="1"/>
  <c r="J5" i="1"/>
  <c r="K5" i="1" s="1"/>
  <c r="J3" i="1"/>
  <c r="K3" i="1" s="1"/>
  <c r="J4" i="1"/>
  <c r="K4" i="1" s="1"/>
  <c r="J2" i="1"/>
  <c r="K2" i="1" s="1"/>
</calcChain>
</file>

<file path=xl/sharedStrings.xml><?xml version="1.0" encoding="utf-8"?>
<sst xmlns="http://schemas.openxmlformats.org/spreadsheetml/2006/main" count="189" uniqueCount="68">
  <si>
    <t>Employee ID</t>
  </si>
  <si>
    <t>Date</t>
  </si>
  <si>
    <t>Status</t>
  </si>
  <si>
    <t>Punch In Time</t>
  </si>
  <si>
    <t>Lunch In Time</t>
  </si>
  <si>
    <t>Lunch Out Time</t>
  </si>
  <si>
    <t>Punch Out Time</t>
  </si>
  <si>
    <t>Total Working Hours</t>
  </si>
  <si>
    <t>Total Lunch Minutes</t>
  </si>
  <si>
    <t>Out Time (After Deduct Lunch Time)</t>
  </si>
  <si>
    <t>Late Coming Minute</t>
  </si>
  <si>
    <t>Email Send Date</t>
  </si>
  <si>
    <t>Email Sent Delay</t>
  </si>
  <si>
    <t>EMP-001</t>
  </si>
  <si>
    <t>Present</t>
  </si>
  <si>
    <t>Column</t>
  </si>
  <si>
    <t>Header</t>
  </si>
  <si>
    <t>Format</t>
  </si>
  <si>
    <t>Required</t>
  </si>
  <si>
    <t>Rule</t>
  </si>
  <si>
    <t>A</t>
  </si>
  <si>
    <t>Text</t>
  </si>
  <si>
    <t>Yes</t>
  </si>
  <si>
    <t>Employee code as in HRMS (e.g. EMP-001).</t>
  </si>
  <si>
    <t>B</t>
  </si>
  <si>
    <t>Date YYYY-MM-DD</t>
  </si>
  <si>
    <t>Day of the attendance.</t>
  </si>
  <si>
    <t>C</t>
  </si>
  <si>
    <t>Text (list)</t>
  </si>
  <si>
    <t>No</t>
  </si>
  <si>
    <t>Present, Half Day, Leave, Absent, Holiday or Weekly Off. Leave / Absent / Holiday rows: leave all time columns blank — no attendance is created.</t>
  </si>
  <si>
    <t>D</t>
  </si>
  <si>
    <t>Time HH:MM (24-hour)</t>
  </si>
  <si>
    <t>Present rows</t>
  </si>
  <si>
    <t>First check-in.</t>
  </si>
  <si>
    <t>E</t>
  </si>
  <si>
    <t>Time HH:MM</t>
  </si>
  <si>
    <t>Going for lunch.</t>
  </si>
  <si>
    <t>F</t>
  </si>
  <si>
    <t>Back from lunch. The lunch (F − E) is saved as the break.</t>
  </si>
  <si>
    <t>G</t>
  </si>
  <si>
    <t>Last check-out (earlier than Punch In = next morning, night shift).</t>
  </si>
  <si>
    <t>H</t>
  </si>
  <si>
    <t>Time HH:MM (formula)</t>
  </si>
  <si>
    <t>Punch Out Time − Punch In Time. Not imported — HRMS recalculates it.</t>
  </si>
  <si>
    <t>I</t>
  </si>
  <si>
    <t>Lunch Out Time − Lunch In Time. Not imported.</t>
  </si>
  <si>
    <t>J</t>
  </si>
  <si>
    <t>Total Working Hours − Total Lunch Minutes = the net working time. Not imported.</t>
  </si>
  <si>
    <t>K</t>
  </si>
  <si>
    <t>Integer (formula)</t>
  </si>
  <si>
    <t>Minutes after 08:30, never below 0: MAX(0, (Punch In − 08:30) × 1440). Not imported.</t>
  </si>
  <si>
    <t>L</t>
  </si>
  <si>
    <t>Kept in the file only.</t>
  </si>
  <si>
    <t>M</t>
  </si>
  <si>
    <t>Integer</t>
  </si>
  <si>
    <t>April 3, 2026</t>
  </si>
  <si>
    <t>April 16, 2026</t>
  </si>
  <si>
    <t>Weekly Off</t>
  </si>
  <si>
    <t>-</t>
  </si>
  <si>
    <t>Absent</t>
  </si>
  <si>
    <t>Third Saturday</t>
  </si>
  <si>
    <t>April 20, 2026</t>
  </si>
  <si>
    <t>April 21, 2026</t>
  </si>
  <si>
    <t>April 23, 2026</t>
  </si>
  <si>
    <t>April 27, 2026</t>
  </si>
  <si>
    <t>April 28, 2026</t>
  </si>
  <si>
    <t>April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</si>
</sst>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h]:mm"/>
  </numFmts>
  <fonts count="6">
    <font>
      <sz val="11"/>
      <name val="Calibri"/>
    </font>
    <font>
      <b/>
      <sz val="11"/>
      <color rgb="FFFFFFFF"/>
      <name val="Calibri"/>
    </font>
    <font>
      <sz val="11"/>
      <name val="Arial"/>
      <family val="2"/>
    </font>
    <font>
      <sz val="8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49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20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20" fontId="5" fillId="4" borderId="2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20" fontId="5" fillId="5" borderId="2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20" fontId="5" fillId="6" borderId="2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Normal="100" workbookViewId="0">
      <pane ySplit="1" topLeftCell="A2" activePane="bottomLeft" state="frozen"/>
      <selection pane="bottomLeft" activeCell="N6" sqref="N6:BUY28"/>
    </sheetView>
  </sheetViews>
  <sheetFormatPr defaultRowHeight="14.4"/>
  <cols>
    <col min="1" max="1" width="13" style="6" customWidth="1"/>
    <col min="2" max="3" width="12" style="6" customWidth="1"/>
    <col min="4" max="5" width="13" style="6" customWidth="1"/>
    <col min="6" max="7" width="14" style="6" customWidth="1"/>
    <col min="8" max="9" width="15" style="6" customWidth="1"/>
    <col min="10" max="10" width="20" style="6" customWidth="1"/>
    <col min="11" max="11" width="13" style="6" customWidth="1"/>
    <col min="12" max="12" width="14" style="6" customWidth="1"/>
    <col min="13" max="13" width="13" style="6" customWidth="1"/>
    <col min="14" max="16384" width="8.88671875" style="6"/>
  </cols>
  <sheetData>
    <row r="1" spans="1:13" ht="29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thickBot="1">
      <c r="A2" s="6" t="s">
        <v>13</v>
      </c>
      <c r="B2" s="7">
        <v>46113</v>
      </c>
      <c r="C2" s="6" t="s">
        <v>14</v>
      </c>
      <c r="D2" s="3">
        <v>0.44305555555555554</v>
      </c>
      <c r="E2" s="3">
        <v>0.62361111111111112</v>
      </c>
      <c r="F2" s="3">
        <v>0.65972222222222221</v>
      </c>
      <c r="G2" s="3">
        <v>0.85138888888888886</v>
      </c>
      <c r="H2" s="8">
        <f>IF(OR(D2="",G2=""),"",G2-D2)</f>
        <v>0.40833333333333333</v>
      </c>
      <c r="I2" s="8">
        <f>IF(OR(E2="",F2=""),"",F2-E2)</f>
        <v>3.6111111111111094E-2</v>
      </c>
      <c r="J2" s="8">
        <f>IF(H2="","",H2-IF(I2="",0,I2))</f>
        <v>0.37222222222222223</v>
      </c>
      <c r="K2" s="9">
        <f>MAX(0,(TIME(8,30,0)-J2)*1440)</f>
        <v>0</v>
      </c>
      <c r="L2" s="4" t="s">
        <v>56</v>
      </c>
      <c r="M2" s="5">
        <v>2</v>
      </c>
    </row>
    <row r="3" spans="1:13" ht="15" thickBot="1">
      <c r="A3" s="6" t="s">
        <v>13</v>
      </c>
      <c r="B3" s="7">
        <v>46114</v>
      </c>
      <c r="C3" s="6" t="s">
        <v>14</v>
      </c>
      <c r="D3" s="3">
        <v>0.42569444444444443</v>
      </c>
      <c r="E3" s="3">
        <v>0.61319444444444449</v>
      </c>
      <c r="F3" s="3">
        <v>0.65347222222222223</v>
      </c>
      <c r="G3" s="3">
        <v>0.8520833333333333</v>
      </c>
      <c r="H3" s="8">
        <f>IF(OR(D3="",G3=""),"",G3-D3)</f>
        <v>0.42638888888888887</v>
      </c>
      <c r="I3" s="8">
        <f>IF(OR(E3="",F3=""),"",F3-E3)</f>
        <v>4.0277777777777746E-2</v>
      </c>
      <c r="J3" s="8">
        <f>IF(H3="","",H3-IF(I3="",0,I3))</f>
        <v>0.38611111111111113</v>
      </c>
      <c r="K3" s="9">
        <f>MAX(0,(TIME(8,30,0)-J3)*1440)</f>
        <v>0</v>
      </c>
      <c r="L3" s="4" t="s">
        <v>56</v>
      </c>
      <c r="M3" s="4">
        <v>1</v>
      </c>
    </row>
    <row r="4" spans="1:13" ht="15" thickBot="1">
      <c r="A4" s="6" t="s">
        <v>13</v>
      </c>
      <c r="B4" s="7">
        <v>46115</v>
      </c>
      <c r="C4" s="6" t="s">
        <v>14</v>
      </c>
      <c r="D4" s="3">
        <v>0.45555555555555555</v>
      </c>
      <c r="E4" s="3">
        <v>0.59930555555555554</v>
      </c>
      <c r="F4" s="3">
        <v>0.62916666666666665</v>
      </c>
      <c r="G4" s="3">
        <v>0.87847222222222221</v>
      </c>
      <c r="H4" s="8">
        <f>IF(OR(D4="",G4=""),"",G4-D4)</f>
        <v>0.42291666666666666</v>
      </c>
      <c r="I4" s="8">
        <f>IF(OR(E4="",F4=""),"",F4-E4)</f>
        <v>2.9861111111111116E-2</v>
      </c>
      <c r="J4" s="8">
        <f>IF(H4="","",H4-IF(I4="",0,I4))</f>
        <v>0.39305555555555555</v>
      </c>
      <c r="K4" s="9">
        <f>MAX(0,(TIME(8,30,0)-J4)*1440)</f>
        <v>0</v>
      </c>
      <c r="L4" s="4" t="s">
        <v>56</v>
      </c>
      <c r="M4" s="4">
        <v>0</v>
      </c>
    </row>
    <row r="5" spans="1:13" ht="15" thickBot="1">
      <c r="A5" s="6" t="s">
        <v>13</v>
      </c>
      <c r="B5" s="7">
        <v>46116</v>
      </c>
      <c r="C5" s="6" t="s">
        <v>14</v>
      </c>
      <c r="D5" s="3">
        <v>0.49861111111111112</v>
      </c>
      <c r="E5" s="3">
        <v>0.64583333333333337</v>
      </c>
      <c r="F5" s="3">
        <v>0.67708333333333337</v>
      </c>
      <c r="G5" s="3">
        <v>0.86527777777777781</v>
      </c>
      <c r="H5" s="8">
        <f>IF(OR(D5="",G5=""),"",G5-D5)</f>
        <v>0.3666666666666667</v>
      </c>
      <c r="I5" s="8">
        <f>IF(OR(E5="",F5=""),"",F5-E5)</f>
        <v>3.125E-2</v>
      </c>
      <c r="J5" s="8">
        <f>IF(H5="","",H5-IF(I5="",0,I5))</f>
        <v>0.3354166666666667</v>
      </c>
      <c r="K5" s="9">
        <f>MAX(0,(TIME(8,30,0)-J5)*1440)</f>
        <v>26.999999999999986</v>
      </c>
      <c r="L5" s="4" t="s">
        <v>57</v>
      </c>
      <c r="M5" s="4">
        <v>12</v>
      </c>
    </row>
    <row r="6" spans="1:13" s="17" customFormat="1" ht="15" thickBot="1">
      <c r="A6" s="17" t="s">
        <v>13</v>
      </c>
      <c r="B6" s="18">
        <v>46117</v>
      </c>
      <c r="C6" s="17" t="s">
        <v>58</v>
      </c>
      <c r="D6" s="19">
        <v>0</v>
      </c>
      <c r="E6" s="19">
        <v>0</v>
      </c>
      <c r="F6" s="19">
        <v>0</v>
      </c>
      <c r="G6" s="19">
        <v>0</v>
      </c>
      <c r="H6" s="20">
        <f>IF(OR(D6="",G6=""),"",G6-D6)</f>
        <v>0</v>
      </c>
      <c r="I6" s="20">
        <f>IF(OR(E6="",F6=""),"",F6-E6)</f>
        <v>0</v>
      </c>
      <c r="J6" s="20">
        <f>IF(H6="","",H6-IF(I6="",0,I6))</f>
        <v>0</v>
      </c>
      <c r="K6" s="21">
        <v>0</v>
      </c>
      <c r="L6" s="22" t="s">
        <v>59</v>
      </c>
      <c r="M6" s="22" t="s">
        <v>59</v>
      </c>
    </row>
    <row r="7" spans="1:13" s="10" customFormat="1" ht="15" thickBot="1">
      <c r="A7" s="10" t="s">
        <v>13</v>
      </c>
      <c r="B7" s="11">
        <v>46118</v>
      </c>
      <c r="C7" s="10" t="s">
        <v>60</v>
      </c>
      <c r="D7" s="12">
        <v>0</v>
      </c>
      <c r="E7" s="12">
        <v>0</v>
      </c>
      <c r="F7" s="12">
        <v>0</v>
      </c>
      <c r="G7" s="12">
        <v>0</v>
      </c>
      <c r="H7" s="13">
        <f>IF(OR(D7="",G7=""),"",G7-D7)</f>
        <v>0</v>
      </c>
      <c r="I7" s="13">
        <f>IF(OR(E7="",F7=""),"",F7-E7)</f>
        <v>0</v>
      </c>
      <c r="J7" s="13">
        <f>IF(H7="","",H7-IF(I7="",0,I7))</f>
        <v>0</v>
      </c>
      <c r="K7" s="14">
        <v>0</v>
      </c>
      <c r="L7" s="15" t="s">
        <v>59</v>
      </c>
      <c r="M7" s="16" t="s">
        <v>59</v>
      </c>
    </row>
    <row r="8" spans="1:13" s="10" customFormat="1" ht="15" thickBot="1">
      <c r="A8" s="10" t="s">
        <v>13</v>
      </c>
      <c r="B8" s="11">
        <v>46119</v>
      </c>
      <c r="C8" s="10" t="s">
        <v>60</v>
      </c>
      <c r="D8" s="12">
        <v>0</v>
      </c>
      <c r="E8" s="12">
        <v>0</v>
      </c>
      <c r="F8" s="12">
        <v>0</v>
      </c>
      <c r="G8" s="12">
        <v>0</v>
      </c>
      <c r="H8" s="13">
        <f>IF(OR(D8="",G8=""),"",G8-D8)</f>
        <v>0</v>
      </c>
      <c r="I8" s="13">
        <f>IF(OR(E8="",F8=""),"",F8-E8)</f>
        <v>0</v>
      </c>
      <c r="J8" s="13">
        <f>IF(H8="","",H8-IF(I8="",0,I8))</f>
        <v>0</v>
      </c>
      <c r="K8" s="14">
        <v>0</v>
      </c>
      <c r="L8" s="15" t="s">
        <v>59</v>
      </c>
      <c r="M8" s="16" t="s">
        <v>59</v>
      </c>
    </row>
    <row r="9" spans="1:13" s="10" customFormat="1" ht="15" thickBot="1">
      <c r="A9" s="10" t="s">
        <v>13</v>
      </c>
      <c r="B9" s="11">
        <v>46120</v>
      </c>
      <c r="C9" s="10" t="s">
        <v>60</v>
      </c>
      <c r="D9" s="12">
        <v>0</v>
      </c>
      <c r="E9" s="12">
        <v>0</v>
      </c>
      <c r="F9" s="12">
        <v>0</v>
      </c>
      <c r="G9" s="12">
        <v>0</v>
      </c>
      <c r="H9" s="13">
        <f>IF(OR(D9="",G9=""),"",G9-D9)</f>
        <v>0</v>
      </c>
      <c r="I9" s="13">
        <f>IF(OR(E9="",F9=""),"",F9-E9)</f>
        <v>0</v>
      </c>
      <c r="J9" s="13">
        <f>IF(H9="","",H9-IF(I9="",0,I9))</f>
        <v>0</v>
      </c>
      <c r="K9" s="14">
        <v>0</v>
      </c>
      <c r="L9" s="15" t="s">
        <v>59</v>
      </c>
      <c r="M9" s="16" t="s">
        <v>59</v>
      </c>
    </row>
    <row r="10" spans="1:13" s="10" customFormat="1" ht="15" thickBot="1">
      <c r="A10" s="10" t="s">
        <v>13</v>
      </c>
      <c r="B10" s="11">
        <v>46121</v>
      </c>
      <c r="C10" s="10" t="s">
        <v>60</v>
      </c>
      <c r="D10" s="12">
        <v>0</v>
      </c>
      <c r="E10" s="12">
        <v>0</v>
      </c>
      <c r="F10" s="12">
        <v>0</v>
      </c>
      <c r="G10" s="12">
        <v>0</v>
      </c>
      <c r="H10" s="13">
        <f>IF(OR(D10="",G10=""),"",G10-D10)</f>
        <v>0</v>
      </c>
      <c r="I10" s="13">
        <f>IF(OR(E10="",F10=""),"",F10-E10)</f>
        <v>0</v>
      </c>
      <c r="J10" s="13">
        <f>IF(H10="","",H10-IF(I10="",0,I10))</f>
        <v>0</v>
      </c>
      <c r="K10" s="14">
        <v>0</v>
      </c>
      <c r="L10" s="15" t="s">
        <v>59</v>
      </c>
      <c r="M10" s="16" t="s">
        <v>59</v>
      </c>
    </row>
    <row r="11" spans="1:13" s="10" customFormat="1" ht="15" thickBot="1">
      <c r="A11" s="10" t="s">
        <v>13</v>
      </c>
      <c r="B11" s="11">
        <v>46122</v>
      </c>
      <c r="C11" s="10" t="s">
        <v>60</v>
      </c>
      <c r="D11" s="12">
        <v>0</v>
      </c>
      <c r="E11" s="12">
        <v>0</v>
      </c>
      <c r="F11" s="12">
        <v>0</v>
      </c>
      <c r="G11" s="12">
        <v>0</v>
      </c>
      <c r="H11" s="13">
        <f>IF(OR(D11="",G11=""),"",G11-D11)</f>
        <v>0</v>
      </c>
      <c r="I11" s="13">
        <f>IF(OR(E11="",F11=""),"",F11-E11)</f>
        <v>0</v>
      </c>
      <c r="J11" s="13">
        <f>IF(H11="","",H11-IF(I11="",0,I11))</f>
        <v>0</v>
      </c>
      <c r="K11" s="14">
        <v>0</v>
      </c>
      <c r="L11" s="15" t="s">
        <v>59</v>
      </c>
      <c r="M11" s="16" t="s">
        <v>59</v>
      </c>
    </row>
    <row r="12" spans="1:13" s="10" customFormat="1" ht="15" thickBot="1">
      <c r="A12" s="10" t="s">
        <v>13</v>
      </c>
      <c r="B12" s="11">
        <v>46123</v>
      </c>
      <c r="C12" s="10" t="s">
        <v>60</v>
      </c>
      <c r="D12" s="12">
        <v>0</v>
      </c>
      <c r="E12" s="12">
        <v>0</v>
      </c>
      <c r="F12" s="12">
        <v>0</v>
      </c>
      <c r="G12" s="12">
        <v>0</v>
      </c>
      <c r="H12" s="13">
        <f>IF(OR(D12="",G12=""),"",G12-D12)</f>
        <v>0</v>
      </c>
      <c r="I12" s="13">
        <f>IF(OR(E12="",F12=""),"",F12-E12)</f>
        <v>0</v>
      </c>
      <c r="J12" s="13">
        <f>IF(H12="","",H12-IF(I12="",0,I12))</f>
        <v>0</v>
      </c>
      <c r="K12" s="14">
        <v>0</v>
      </c>
      <c r="L12" s="15" t="s">
        <v>59</v>
      </c>
      <c r="M12" s="16" t="s">
        <v>59</v>
      </c>
    </row>
    <row r="13" spans="1:13" s="17" customFormat="1" ht="15" thickBot="1">
      <c r="A13" s="17" t="s">
        <v>13</v>
      </c>
      <c r="B13" s="18">
        <v>46124</v>
      </c>
      <c r="C13" s="17" t="s">
        <v>58</v>
      </c>
      <c r="D13" s="19">
        <v>0</v>
      </c>
      <c r="E13" s="19">
        <v>0</v>
      </c>
      <c r="F13" s="19">
        <v>0</v>
      </c>
      <c r="G13" s="19">
        <v>0</v>
      </c>
      <c r="H13" s="20">
        <f>IF(OR(D13="",G13=""),"",G13-D13)</f>
        <v>0</v>
      </c>
      <c r="I13" s="20">
        <f>IF(OR(E13="",F13=""),"",F13-E13)</f>
        <v>0</v>
      </c>
      <c r="J13" s="20">
        <f>IF(H13="","",H13-IF(I13="",0,I13))</f>
        <v>0</v>
      </c>
      <c r="K13" s="21">
        <v>0</v>
      </c>
      <c r="L13" s="22" t="s">
        <v>59</v>
      </c>
      <c r="M13" s="22" t="s">
        <v>59</v>
      </c>
    </row>
    <row r="14" spans="1:13" s="10" customFormat="1" ht="15" thickBot="1">
      <c r="A14" s="10" t="s">
        <v>13</v>
      </c>
      <c r="B14" s="11">
        <v>46125</v>
      </c>
      <c r="C14" s="10" t="s">
        <v>60</v>
      </c>
      <c r="D14" s="12">
        <v>0</v>
      </c>
      <c r="E14" s="12">
        <v>0</v>
      </c>
      <c r="F14" s="12">
        <v>0</v>
      </c>
      <c r="G14" s="12">
        <v>0</v>
      </c>
      <c r="H14" s="13">
        <f>IF(OR(D14="",G14=""),"",G14-D14)</f>
        <v>0</v>
      </c>
      <c r="I14" s="13">
        <f>IF(OR(E14="",F14=""),"",F14-E14)</f>
        <v>0</v>
      </c>
      <c r="J14" s="13">
        <f>IF(H14="","",H14-IF(I14="",0,I14))</f>
        <v>0</v>
      </c>
      <c r="K14" s="14">
        <v>0</v>
      </c>
      <c r="L14" s="15" t="s">
        <v>59</v>
      </c>
      <c r="M14" s="16" t="s">
        <v>59</v>
      </c>
    </row>
    <row r="15" spans="1:13" s="10" customFormat="1" ht="15" thickBot="1">
      <c r="A15" s="10" t="s">
        <v>13</v>
      </c>
      <c r="B15" s="11">
        <v>46126</v>
      </c>
      <c r="C15" s="10" t="s">
        <v>60</v>
      </c>
      <c r="D15" s="12">
        <v>0</v>
      </c>
      <c r="E15" s="12">
        <v>0</v>
      </c>
      <c r="F15" s="12">
        <v>0</v>
      </c>
      <c r="G15" s="12">
        <v>0</v>
      </c>
      <c r="H15" s="13">
        <f>IF(OR(D15="",G15=""),"",G15-D15)</f>
        <v>0</v>
      </c>
      <c r="I15" s="13">
        <f>IF(OR(E15="",F15=""),"",F15-E15)</f>
        <v>0</v>
      </c>
      <c r="J15" s="13">
        <f>IF(H15="","",H15-IF(I15="",0,I15))</f>
        <v>0</v>
      </c>
      <c r="K15" s="14">
        <v>0</v>
      </c>
      <c r="L15" s="15" t="s">
        <v>59</v>
      </c>
      <c r="M15" s="16" t="s">
        <v>59</v>
      </c>
    </row>
    <row r="16" spans="1:13" s="10" customFormat="1" ht="15" thickBot="1">
      <c r="A16" s="10" t="s">
        <v>13</v>
      </c>
      <c r="B16" s="11">
        <v>46127</v>
      </c>
      <c r="C16" s="10" t="s">
        <v>60</v>
      </c>
      <c r="D16" s="12">
        <v>0</v>
      </c>
      <c r="E16" s="12">
        <v>0</v>
      </c>
      <c r="F16" s="12">
        <v>0</v>
      </c>
      <c r="G16" s="12">
        <v>0</v>
      </c>
      <c r="H16" s="13">
        <f>IF(OR(D16="",G16=""),"",G16-D16)</f>
        <v>0</v>
      </c>
      <c r="I16" s="13">
        <f>IF(OR(E16="",F16=""),"",F16-E16)</f>
        <v>0</v>
      </c>
      <c r="J16" s="13">
        <f>IF(H16="","",H16-IF(I16="",0,I16))</f>
        <v>0</v>
      </c>
      <c r="K16" s="14">
        <v>0</v>
      </c>
      <c r="L16" s="15" t="s">
        <v>59</v>
      </c>
      <c r="M16" s="16" t="s">
        <v>59</v>
      </c>
    </row>
    <row r="17" spans="1:13" s="10" customFormat="1" ht="15" thickBot="1">
      <c r="A17" s="10" t="s">
        <v>13</v>
      </c>
      <c r="B17" s="11">
        <v>46128</v>
      </c>
      <c r="C17" s="10" t="s">
        <v>60</v>
      </c>
      <c r="D17" s="12">
        <v>0</v>
      </c>
      <c r="E17" s="12">
        <v>0</v>
      </c>
      <c r="F17" s="12">
        <v>0</v>
      </c>
      <c r="G17" s="12">
        <v>0</v>
      </c>
      <c r="H17" s="13">
        <f>IF(OR(D17="",G17=""),"",G17-D17)</f>
        <v>0</v>
      </c>
      <c r="I17" s="13">
        <f>IF(OR(E17="",F17=""),"",F17-E17)</f>
        <v>0</v>
      </c>
      <c r="J17" s="13">
        <f>IF(H17="","",H17-IF(I17="",0,I17))</f>
        <v>0</v>
      </c>
      <c r="K17" s="14">
        <v>0</v>
      </c>
      <c r="L17" s="15" t="s">
        <v>59</v>
      </c>
      <c r="M17" s="16" t="s">
        <v>59</v>
      </c>
    </row>
    <row r="18" spans="1:13" ht="15" thickBot="1">
      <c r="A18" s="6" t="s">
        <v>13</v>
      </c>
      <c r="B18" s="7">
        <v>46129</v>
      </c>
      <c r="C18" s="6" t="s">
        <v>14</v>
      </c>
      <c r="D18" s="3">
        <v>0.5</v>
      </c>
      <c r="E18" s="3">
        <v>0</v>
      </c>
      <c r="F18" s="3">
        <v>0</v>
      </c>
      <c r="G18" s="3">
        <v>0.66666666666666663</v>
      </c>
      <c r="H18" s="8">
        <f>IF(OR(D18="",G18=""),"",G18-D18)</f>
        <v>0.16666666666666663</v>
      </c>
      <c r="I18" s="8">
        <f>IF(OR(E18="",F18=""),"",F18-E18)</f>
        <v>0</v>
      </c>
      <c r="J18" s="8">
        <f>IF(H18="","",H18-IF(I18="",0,I18))</f>
        <v>0.16666666666666663</v>
      </c>
      <c r="K18" s="9">
        <f>MAX(0,(TIME(8,30,0)-J18)*1440)</f>
        <v>270.00000000000006</v>
      </c>
      <c r="L18" s="4" t="s">
        <v>62</v>
      </c>
      <c r="M18" s="5">
        <v>3</v>
      </c>
    </row>
    <row r="19" spans="1:13" s="23" customFormat="1" ht="15" thickBot="1">
      <c r="A19" s="23" t="s">
        <v>13</v>
      </c>
      <c r="B19" s="24">
        <v>46130</v>
      </c>
      <c r="C19" s="23" t="s">
        <v>61</v>
      </c>
      <c r="D19" s="25">
        <v>0</v>
      </c>
      <c r="E19" s="25">
        <v>0</v>
      </c>
      <c r="F19" s="25">
        <v>0</v>
      </c>
      <c r="G19" s="25">
        <v>0</v>
      </c>
      <c r="H19" s="26">
        <f>IF(OR(D19="",G19=""),"",G19-D19)</f>
        <v>0</v>
      </c>
      <c r="I19" s="26">
        <f>IF(OR(E19="",F19=""),"",F19-E19)</f>
        <v>0</v>
      </c>
      <c r="J19" s="26">
        <f>IF(H19="","",H19-IF(I19="",0,I19))</f>
        <v>0</v>
      </c>
      <c r="K19" s="27">
        <v>0</v>
      </c>
      <c r="L19" s="28" t="s">
        <v>59</v>
      </c>
      <c r="M19" s="28" t="s">
        <v>59</v>
      </c>
    </row>
    <row r="20" spans="1:13" s="17" customFormat="1" ht="15" thickBot="1">
      <c r="A20" s="17" t="s">
        <v>13</v>
      </c>
      <c r="B20" s="18">
        <v>46131</v>
      </c>
      <c r="C20" s="17" t="s">
        <v>58</v>
      </c>
      <c r="D20" s="19">
        <v>0</v>
      </c>
      <c r="E20" s="19">
        <v>0</v>
      </c>
      <c r="F20" s="19">
        <v>0</v>
      </c>
      <c r="G20" s="19">
        <v>0</v>
      </c>
      <c r="H20" s="20">
        <f>IF(OR(D20="",G20=""),"",G20-D20)</f>
        <v>0</v>
      </c>
      <c r="I20" s="20">
        <f>IF(OR(E20="",F20=""),"",F20-E20)</f>
        <v>0</v>
      </c>
      <c r="J20" s="20">
        <f>IF(H20="","",H20-IF(I20="",0,I20))</f>
        <v>0</v>
      </c>
      <c r="K20" s="21">
        <v>0</v>
      </c>
      <c r="L20" s="22" t="s">
        <v>59</v>
      </c>
      <c r="M20" s="22" t="s">
        <v>59</v>
      </c>
    </row>
    <row r="21" spans="1:13" ht="15" thickBot="1">
      <c r="A21" s="6" t="s">
        <v>13</v>
      </c>
      <c r="B21" s="7">
        <v>46132</v>
      </c>
      <c r="C21" s="6" t="s">
        <v>14</v>
      </c>
      <c r="D21" s="3">
        <v>0.4375</v>
      </c>
      <c r="E21" s="3">
        <v>0.6875</v>
      </c>
      <c r="F21" s="3">
        <v>0.71875</v>
      </c>
      <c r="G21" s="3">
        <v>0.83333333333333337</v>
      </c>
      <c r="H21" s="8">
        <f>IF(OR(D21="",G21=""),"",G21-D21)</f>
        <v>0.39583333333333337</v>
      </c>
      <c r="I21" s="8">
        <f>IF(OR(E21="",F21=""),"",F21-E21)</f>
        <v>3.125E-2</v>
      </c>
      <c r="J21" s="8">
        <f>IF(H21="","",H21-IF(I21="",0,I21))</f>
        <v>0.36458333333333337</v>
      </c>
      <c r="K21" s="9">
        <f>MAX(0,(TIME(8,30,0)-J21)*1440)</f>
        <v>0</v>
      </c>
      <c r="L21" s="4" t="s">
        <v>62</v>
      </c>
      <c r="M21" s="4">
        <v>0</v>
      </c>
    </row>
    <row r="22" spans="1:13" ht="15" thickBot="1">
      <c r="A22" s="6" t="s">
        <v>13</v>
      </c>
      <c r="B22" s="7">
        <v>46133</v>
      </c>
      <c r="C22" s="6" t="s">
        <v>14</v>
      </c>
      <c r="D22" s="3">
        <v>0.4375</v>
      </c>
      <c r="E22" s="3">
        <v>0.6875</v>
      </c>
      <c r="F22" s="3">
        <v>0.71875</v>
      </c>
      <c r="G22" s="3">
        <v>0.83333333333333337</v>
      </c>
      <c r="H22" s="8">
        <f>IF(OR(D22="",G22=""),"",G22-D22)</f>
        <v>0.39583333333333337</v>
      </c>
      <c r="I22" s="8">
        <f>IF(OR(E22="",F22=""),"",F22-E22)</f>
        <v>3.125E-2</v>
      </c>
      <c r="J22" s="8">
        <f>IF(H22="","",H22-IF(I22="",0,I22))</f>
        <v>0.36458333333333337</v>
      </c>
      <c r="K22" s="9">
        <f>MAX(0,(TIME(8,30,0)-J22)*1440)</f>
        <v>0</v>
      </c>
      <c r="L22" s="4" t="s">
        <v>63</v>
      </c>
      <c r="M22" s="4">
        <v>0</v>
      </c>
    </row>
    <row r="23" spans="1:13" ht="15" thickBot="1">
      <c r="A23" s="6" t="s">
        <v>13</v>
      </c>
      <c r="B23" s="7">
        <v>46134</v>
      </c>
      <c r="C23" s="6" t="s">
        <v>14</v>
      </c>
      <c r="D23" s="3">
        <v>0.4375</v>
      </c>
      <c r="E23" s="3">
        <v>0.6875</v>
      </c>
      <c r="F23" s="3">
        <v>0.71875</v>
      </c>
      <c r="G23" s="3">
        <v>0.79166666666666663</v>
      </c>
      <c r="H23" s="8">
        <f>IF(OR(D23="",G23=""),"",G23-D23)</f>
        <v>0.35416666666666663</v>
      </c>
      <c r="I23" s="8">
        <f>IF(OR(E23="",F23=""),"",F23-E23)</f>
        <v>3.125E-2</v>
      </c>
      <c r="J23" s="8">
        <f>IF(H23="","",H23-IF(I23="",0,I23))</f>
        <v>0.32291666666666663</v>
      </c>
      <c r="K23" s="9">
        <f>MAX(0,(TIME(8,30,0)-J23)*1440)</f>
        <v>45.000000000000078</v>
      </c>
      <c r="L23" s="4" t="s">
        <v>64</v>
      </c>
      <c r="M23" s="4">
        <v>1</v>
      </c>
    </row>
    <row r="24" spans="1:13" ht="15" thickBot="1">
      <c r="A24" s="6" t="s">
        <v>13</v>
      </c>
      <c r="B24" s="7">
        <v>46135</v>
      </c>
      <c r="C24" s="6" t="s">
        <v>14</v>
      </c>
      <c r="D24" s="3">
        <v>0.4375</v>
      </c>
      <c r="E24" s="3">
        <v>0.58333333333333337</v>
      </c>
      <c r="F24" s="3">
        <v>0.625</v>
      </c>
      <c r="G24" s="3">
        <v>0.8125</v>
      </c>
      <c r="H24" s="8">
        <f>IF(OR(D24="",G24=""),"",G24-D24)</f>
        <v>0.375</v>
      </c>
      <c r="I24" s="8">
        <f>IF(OR(E24="",F24=""),"",F24-E24)</f>
        <v>4.166666666666663E-2</v>
      </c>
      <c r="J24" s="8">
        <f>IF(H24="","",H24-IF(I24="",0,I24))</f>
        <v>0.33333333333333337</v>
      </c>
      <c r="K24" s="9">
        <f>MAX(0,(TIME(8,30,0)-J24)*1440)</f>
        <v>29.999999999999972</v>
      </c>
      <c r="L24" s="4" t="s">
        <v>64</v>
      </c>
      <c r="M24" s="4">
        <v>0</v>
      </c>
    </row>
    <row r="25" spans="1:13" s="10" customFormat="1" ht="15" thickBot="1">
      <c r="A25" s="10" t="s">
        <v>13</v>
      </c>
      <c r="B25" s="11">
        <v>46136</v>
      </c>
      <c r="C25" s="10" t="s">
        <v>60</v>
      </c>
      <c r="D25" s="12">
        <v>0</v>
      </c>
      <c r="E25" s="12">
        <v>0</v>
      </c>
      <c r="F25" s="12">
        <v>0</v>
      </c>
      <c r="G25" s="12">
        <v>0</v>
      </c>
      <c r="H25" s="13">
        <f>IF(OR(D25="",G25=""),"",G25-D25)</f>
        <v>0</v>
      </c>
      <c r="I25" s="13">
        <f>IF(OR(E25="",F25=""),"",F25-E25)</f>
        <v>0</v>
      </c>
      <c r="J25" s="13">
        <f>IF(H25="","",H25-IF(I25="",0,I25))</f>
        <v>0</v>
      </c>
      <c r="K25" s="14">
        <v>0</v>
      </c>
      <c r="L25" s="15" t="s">
        <v>59</v>
      </c>
      <c r="M25" s="16" t="s">
        <v>59</v>
      </c>
    </row>
    <row r="26" spans="1:13" ht="15" thickBot="1">
      <c r="A26" s="6" t="s">
        <v>13</v>
      </c>
      <c r="B26" s="7">
        <v>46137</v>
      </c>
      <c r="C26" s="6" t="s">
        <v>14</v>
      </c>
      <c r="D26" s="3">
        <v>0.5</v>
      </c>
      <c r="E26" s="3">
        <v>0</v>
      </c>
      <c r="F26" s="3">
        <v>0</v>
      </c>
      <c r="G26" s="3">
        <v>0.75</v>
      </c>
      <c r="H26" s="8">
        <f>IF(OR(D26="",G26=""),"",G26-D26)</f>
        <v>0.25</v>
      </c>
      <c r="I26" s="8">
        <f>IF(OR(E26="",F26=""),"",F26-E26)</f>
        <v>0</v>
      </c>
      <c r="J26" s="8">
        <f>IF(H26="","",H26-IF(I26="",0,I26))</f>
        <v>0.25</v>
      </c>
      <c r="K26" s="9">
        <f>MAX(0,(TIME(8,30,0)-J26)*1440)</f>
        <v>150.00000000000003</v>
      </c>
      <c r="L26" s="4" t="s">
        <v>65</v>
      </c>
      <c r="M26" s="4">
        <v>2</v>
      </c>
    </row>
    <row r="27" spans="1:13" s="17" customFormat="1" ht="15" thickBot="1">
      <c r="A27" s="17" t="s">
        <v>13</v>
      </c>
      <c r="B27" s="18">
        <v>46138</v>
      </c>
      <c r="C27" s="17" t="s">
        <v>58</v>
      </c>
      <c r="D27" s="19">
        <v>0</v>
      </c>
      <c r="E27" s="19">
        <v>0</v>
      </c>
      <c r="F27" s="19">
        <v>0</v>
      </c>
      <c r="G27" s="19">
        <v>0</v>
      </c>
      <c r="H27" s="20">
        <f>IF(OR(D27="",G27=""),"",G27-D27)</f>
        <v>0</v>
      </c>
      <c r="I27" s="20">
        <f>IF(OR(E27="",F27=""),"",F27-E27)</f>
        <v>0</v>
      </c>
      <c r="J27" s="20">
        <f>IF(H27="","",H27-IF(I27="",0,I27))</f>
        <v>0</v>
      </c>
      <c r="K27" s="21">
        <v>0</v>
      </c>
      <c r="L27" s="22" t="s">
        <v>59</v>
      </c>
      <c r="M27" s="22" t="s">
        <v>59</v>
      </c>
    </row>
    <row r="28" spans="1:13" ht="15" thickBot="1">
      <c r="A28" s="6" t="s">
        <v>13</v>
      </c>
      <c r="B28" s="7">
        <v>46139</v>
      </c>
      <c r="C28" s="6" t="s">
        <v>14</v>
      </c>
      <c r="D28" s="3">
        <v>0.4375</v>
      </c>
      <c r="E28" s="4">
        <v>0</v>
      </c>
      <c r="F28" s="4">
        <v>0</v>
      </c>
      <c r="G28" s="3">
        <v>0.79166666666666663</v>
      </c>
      <c r="H28" s="8">
        <f>IF(OR(D28="",G28=""),"",G28-D28)</f>
        <v>0.35416666666666663</v>
      </c>
      <c r="I28" s="8">
        <f>IF(OR(E28="",F28=""),"",F28-E28)</f>
        <v>0</v>
      </c>
      <c r="J28" s="8">
        <f>IF(H28="","",H28-IF(I28="",0,I28))</f>
        <v>0.35416666666666663</v>
      </c>
      <c r="K28" s="9">
        <f>MAX(0,(TIME(8,30,0)-J28)*1440)</f>
        <v>7.9936057773011271E-14</v>
      </c>
      <c r="L28" s="4" t="s">
        <v>65</v>
      </c>
      <c r="M28" s="4">
        <v>0</v>
      </c>
    </row>
    <row r="29" spans="1:13" ht="15" thickBot="1">
      <c r="A29" s="6" t="s">
        <v>13</v>
      </c>
      <c r="B29" s="7">
        <v>46140</v>
      </c>
      <c r="C29" s="6" t="s">
        <v>14</v>
      </c>
      <c r="D29" s="3">
        <v>0.4375</v>
      </c>
      <c r="E29" s="3">
        <v>0.60416666666666663</v>
      </c>
      <c r="F29" s="3">
        <v>0.63194444444444442</v>
      </c>
      <c r="G29" s="3">
        <v>0.8125</v>
      </c>
      <c r="H29" s="8">
        <f>IF(OR(D29="",G29=""),"",G29-D29)</f>
        <v>0.375</v>
      </c>
      <c r="I29" s="8">
        <f>IF(OR(E29="",F29=""),"",F29-E29)</f>
        <v>2.777777777777779E-2</v>
      </c>
      <c r="J29" s="8">
        <f>IF(H29="","",H29-IF(I29="",0,I29))</f>
        <v>0.34722222222222221</v>
      </c>
      <c r="K29" s="9">
        <f>MAX(0,(TIME(8,30,0)-J29)*1440)</f>
        <v>10.000000000000044</v>
      </c>
      <c r="L29" s="4" t="s">
        <v>66</v>
      </c>
      <c r="M29" s="4">
        <v>0</v>
      </c>
    </row>
    <row r="30" spans="1:13" ht="15" thickBot="1">
      <c r="A30" s="6" t="s">
        <v>13</v>
      </c>
      <c r="B30" s="7">
        <v>46141</v>
      </c>
      <c r="C30" s="6" t="s">
        <v>14</v>
      </c>
      <c r="D30" s="3">
        <v>0.4375</v>
      </c>
      <c r="E30" s="3">
        <v>0.60416666666666663</v>
      </c>
      <c r="F30" s="3">
        <v>0.63194444444444442</v>
      </c>
      <c r="G30" s="3">
        <v>0.72916666666666663</v>
      </c>
      <c r="H30" s="8">
        <f>IF(OR(D30="",G30=""),"",G30-D30)</f>
        <v>0.29166666666666663</v>
      </c>
      <c r="I30" s="8">
        <f>IF(OR(E30="",F30=""),"",F30-E30)</f>
        <v>2.777777777777779E-2</v>
      </c>
      <c r="J30" s="8">
        <f>IF(H30="","",H30-IF(I30="",0,I30))</f>
        <v>0.26388888888888884</v>
      </c>
      <c r="K30" s="9">
        <f>MAX(0,(TIME(8,30,0)-J30)*1440)</f>
        <v>130.00000000000009</v>
      </c>
      <c r="L30" s="4" t="s">
        <v>67</v>
      </c>
      <c r="M30" s="4">
        <v>1</v>
      </c>
    </row>
    <row r="31" spans="1:13" ht="15" thickBot="1">
      <c r="A31" s="6" t="s">
        <v>13</v>
      </c>
      <c r="B31" s="7">
        <v>46142</v>
      </c>
      <c r="C31" s="6" t="s">
        <v>14</v>
      </c>
      <c r="D31" s="3">
        <v>0.5</v>
      </c>
      <c r="E31" s="3">
        <v>0.60416666666666663</v>
      </c>
      <c r="F31" s="3">
        <v>0.63541666666666663</v>
      </c>
      <c r="G31" s="3">
        <v>0.82361111111111107</v>
      </c>
      <c r="H31" s="8">
        <f>IF(OR(D31="",G31=""),"",G31-D31)</f>
        <v>0.32361111111111107</v>
      </c>
      <c r="I31" s="8">
        <f>IF(OR(E31="",F31=""),"",F31-E31)</f>
        <v>3.125E-2</v>
      </c>
      <c r="J31" s="8">
        <f>IF(H31="","",H31-IF(I31="",0,I31))</f>
        <v>0.29236111111111107</v>
      </c>
      <c r="K31" s="9">
        <f>MAX(0,(TIME(8,30,0)-J31)*1440)</f>
        <v>89.000000000000085</v>
      </c>
      <c r="L31" s="4" t="s">
        <v>67</v>
      </c>
      <c r="M31" s="4">
        <v>0</v>
      </c>
    </row>
    <row r="32" spans="1:13">
      <c r="K32" s="10">
        <f>SUM(K2:K31)</f>
        <v>751.00000000000045</v>
      </c>
    </row>
  </sheetData>
  <phoneticPr fontId="3" type="noConversion"/>
  <dataValidations count="5">
    <dataValidation type="list" allowBlank="1" showErrorMessage="1" errorTitle="Invalid value" error="Choose a status from the list." sqref="C2:C18 C20:C997" xr:uid="{00000000-0002-0000-0000-000000000000}">
      <formula1>"Present,Half Day,Leave,Absent,Holiday,Weekly Off"</formula1>
    </dataValidation>
    <dataValidation type="date" operator="greaterThan" allowBlank="1" showErrorMessage="1" errorTitle="Invalid value" error="Enter a date as YYYY-MM-DD." sqref="L32:L997 B2:B997" xr:uid="{00000000-0002-0000-0000-000001000000}">
      <formula1>36526</formula1>
    </dataValidation>
    <dataValidation type="time" allowBlank="1" showErrorMessage="1" errorTitle="Invalid value" error="Enter a time as HH:MM (24-hour), e.g. 09:30." sqref="D32:G997" xr:uid="{00000000-0002-0000-0000-000002000000}">
      <formula1>0</formula1>
      <formula2>0.999988425925926</formula2>
    </dataValidation>
    <dataValidation type="whole" operator="greaterThanOrEqual" allowBlank="1" showErrorMessage="1" errorTitle="Invalid value" error="Whole number, 0 or more." sqref="M32:M997" xr:uid="{00000000-0002-0000-0000-000007000000}">
      <formula1>0</formula1>
    </dataValidation>
    <dataValidation type="list" allowBlank="1" showErrorMessage="1" errorTitle="Invalid value" error="Choose a status from the list." sqref="C19" xr:uid="{8829563D-A3F6-4DFB-96DB-5D3629F69067}">
      <formula1>"Present,Half Day,Leave,Absent,Holiday,Third Saturday, Weekly 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8" customWidth="1"/>
    <col min="2" max="2" width="34" customWidth="1"/>
    <col min="3" max="3" width="22" customWidth="1"/>
    <col min="4" max="4" width="12" customWidth="1"/>
    <col min="5" max="5" width="80" customWidth="1"/>
  </cols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t="s">
        <v>20</v>
      </c>
      <c r="B2" t="s">
        <v>0</v>
      </c>
      <c r="C2" t="s">
        <v>21</v>
      </c>
      <c r="D2" t="s">
        <v>22</v>
      </c>
      <c r="E2" s="2" t="s">
        <v>23</v>
      </c>
    </row>
    <row r="3" spans="1:5">
      <c r="A3" t="s">
        <v>24</v>
      </c>
      <c r="B3" t="s">
        <v>1</v>
      </c>
      <c r="C3" t="s">
        <v>25</v>
      </c>
      <c r="D3" t="s">
        <v>22</v>
      </c>
      <c r="E3" s="2" t="s">
        <v>26</v>
      </c>
    </row>
    <row r="4" spans="1:5" ht="28.8">
      <c r="A4" t="s">
        <v>27</v>
      </c>
      <c r="B4" t="s">
        <v>2</v>
      </c>
      <c r="C4" t="s">
        <v>28</v>
      </c>
      <c r="D4" t="s">
        <v>29</v>
      </c>
      <c r="E4" s="2" t="s">
        <v>30</v>
      </c>
    </row>
    <row r="5" spans="1:5">
      <c r="A5" t="s">
        <v>31</v>
      </c>
      <c r="B5" t="s">
        <v>3</v>
      </c>
      <c r="C5" t="s">
        <v>32</v>
      </c>
      <c r="D5" t="s">
        <v>33</v>
      </c>
      <c r="E5" s="2" t="s">
        <v>34</v>
      </c>
    </row>
    <row r="6" spans="1:5">
      <c r="A6" t="s">
        <v>35</v>
      </c>
      <c r="B6" t="s">
        <v>4</v>
      </c>
      <c r="C6" t="s">
        <v>36</v>
      </c>
      <c r="D6" t="s">
        <v>29</v>
      </c>
      <c r="E6" s="2" t="s">
        <v>37</v>
      </c>
    </row>
    <row r="7" spans="1:5">
      <c r="A7" t="s">
        <v>38</v>
      </c>
      <c r="B7" t="s">
        <v>5</v>
      </c>
      <c r="C7" t="s">
        <v>36</v>
      </c>
      <c r="D7" t="s">
        <v>29</v>
      </c>
      <c r="E7" s="2" t="s">
        <v>39</v>
      </c>
    </row>
    <row r="8" spans="1:5">
      <c r="A8" t="s">
        <v>40</v>
      </c>
      <c r="B8" t="s">
        <v>6</v>
      </c>
      <c r="C8" t="s">
        <v>36</v>
      </c>
      <c r="D8" t="s">
        <v>29</v>
      </c>
      <c r="E8" s="2" t="s">
        <v>41</v>
      </c>
    </row>
    <row r="9" spans="1:5">
      <c r="A9" t="s">
        <v>42</v>
      </c>
      <c r="B9" t="s">
        <v>7</v>
      </c>
      <c r="C9" t="s">
        <v>43</v>
      </c>
      <c r="D9" t="s">
        <v>29</v>
      </c>
      <c r="E9" s="2" t="s">
        <v>44</v>
      </c>
    </row>
    <row r="10" spans="1:5">
      <c r="A10" t="s">
        <v>45</v>
      </c>
      <c r="B10" t="s">
        <v>8</v>
      </c>
      <c r="C10" t="s">
        <v>43</v>
      </c>
      <c r="D10" t="s">
        <v>29</v>
      </c>
      <c r="E10" s="2" t="s">
        <v>46</v>
      </c>
    </row>
    <row r="11" spans="1:5">
      <c r="A11" t="s">
        <v>47</v>
      </c>
      <c r="B11" t="s">
        <v>9</v>
      </c>
      <c r="C11" t="s">
        <v>43</v>
      </c>
      <c r="D11" t="s">
        <v>29</v>
      </c>
      <c r="E11" s="2" t="s">
        <v>48</v>
      </c>
    </row>
    <row r="12" spans="1:5">
      <c r="A12" t="s">
        <v>49</v>
      </c>
      <c r="B12" t="s">
        <v>10</v>
      </c>
      <c r="C12" t="s">
        <v>50</v>
      </c>
      <c r="D12" t="s">
        <v>29</v>
      </c>
      <c r="E12" s="2" t="s">
        <v>51</v>
      </c>
    </row>
    <row r="13" spans="1:5">
      <c r="A13" t="s">
        <v>52</v>
      </c>
      <c r="B13" t="s">
        <v>11</v>
      </c>
      <c r="C13" t="s">
        <v>25</v>
      </c>
      <c r="D13" t="s">
        <v>29</v>
      </c>
      <c r="E13" s="2" t="s">
        <v>53</v>
      </c>
    </row>
    <row r="14" spans="1:5">
      <c r="A14" t="s">
        <v>54</v>
      </c>
      <c r="B14" t="s">
        <v>12</v>
      </c>
      <c r="C14" t="s">
        <v>55</v>
      </c>
      <c r="D14" t="s">
        <v>29</v>
      </c>
      <c r="E14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 Gangrade</cp:lastModifiedBy>
  <dcterms:modified xsi:type="dcterms:W3CDTF">2026-10-15T14:21:12Z</dcterms:modified>
</cp:coreProperties>
</file>